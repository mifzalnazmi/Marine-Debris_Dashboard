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arbis\"/>
    </mc:Choice>
  </mc:AlternateContent>
  <xr:revisionPtr revIDLastSave="0" documentId="13_ncr:1_{ABF640DE-E1EE-41DE-AD51-25DD8582C29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tegories" sheetId="1" r:id="rId1"/>
    <sheet name="Data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2" i="3" l="1"/>
  <c r="AZ33" i="3"/>
  <c r="AZ34" i="3"/>
  <c r="AZ35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4" i="3"/>
  <c r="AZ51" i="3"/>
  <c r="AZ52" i="3"/>
  <c r="AZ81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K66" i="3"/>
  <c r="AZ66" i="3" s="1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0" i="3"/>
  <c r="AZ49" i="3"/>
  <c r="AZ48" i="3"/>
  <c r="AZ47" i="3"/>
  <c r="AZ46" i="3"/>
  <c r="AZ45" i="3"/>
  <c r="AZ44" i="3"/>
  <c r="AZ43" i="3"/>
</calcChain>
</file>

<file path=xl/sharedStrings.xml><?xml version="1.0" encoding="utf-8"?>
<sst xmlns="http://schemas.openxmlformats.org/spreadsheetml/2006/main" count="115" uniqueCount="93">
  <si>
    <t>1,.5</t>
  </si>
  <si>
    <t>Feb</t>
  </si>
  <si>
    <t>TRAX V</t>
  </si>
  <si>
    <t>Nov</t>
  </si>
  <si>
    <t xml:space="preserve">TETRA </t>
  </si>
  <si>
    <t>Oct</t>
  </si>
  <si>
    <t>Aug</t>
  </si>
  <si>
    <t>May</t>
  </si>
  <si>
    <t>TRAX IV</t>
  </si>
  <si>
    <t>Plastic Pieces</t>
  </si>
  <si>
    <t>Glass Pieces</t>
  </si>
  <si>
    <t>Foam Pieces</t>
  </si>
  <si>
    <t>TINY TRASH LESS THAN 2.5 CM</t>
  </si>
  <si>
    <t>F</t>
  </si>
  <si>
    <t>Tires</t>
  </si>
  <si>
    <t>Fireworks</t>
  </si>
  <si>
    <t>Construction Materials</t>
  </si>
  <si>
    <t>Cigarette Lighters</t>
  </si>
  <si>
    <t>Apr</t>
  </si>
  <si>
    <t>Cigar Tips</t>
  </si>
  <si>
    <t>Balloons</t>
  </si>
  <si>
    <t>Appliancess (refrigerators, washers, etc)</t>
  </si>
  <si>
    <t>OTHER TRASH</t>
  </si>
  <si>
    <t>E</t>
  </si>
  <si>
    <t>T-RaX I</t>
  </si>
  <si>
    <t>Tampons/Tampon Applicators</t>
  </si>
  <si>
    <t>Syringes</t>
  </si>
  <si>
    <t>Diapers</t>
  </si>
  <si>
    <t>Condoms</t>
  </si>
  <si>
    <t>PERSONAL HYGIENE</t>
  </si>
  <si>
    <t>D</t>
  </si>
  <si>
    <t>Tobacco Packaging/Wrap</t>
  </si>
  <si>
    <t>Strapping Bands</t>
  </si>
  <si>
    <t>Other Plastic Bottles (oil, bleach, etc)</t>
  </si>
  <si>
    <t>Other Plastic/Foam Packaging</t>
  </si>
  <si>
    <t>6-Pack Holders</t>
  </si>
  <si>
    <t>PACKAGING MATERIALS</t>
  </si>
  <si>
    <t>C</t>
  </si>
  <si>
    <t>Fishing Line (1 yard/meter = 1 pieces</t>
  </si>
  <si>
    <t>Gosong Biawak</t>
  </si>
  <si>
    <t xml:space="preserve">Benchmark </t>
  </si>
  <si>
    <t>Rope (1 yard/meter = 1 piece)</t>
  </si>
  <si>
    <t>Fishing Net &amp; Pieces</t>
  </si>
  <si>
    <t>Fishing Buoys, Pots &amp; Traps</t>
  </si>
  <si>
    <t>FISHING GEAR</t>
  </si>
  <si>
    <t>B</t>
  </si>
  <si>
    <t>Cups &amp; Plates (Foam)</t>
  </si>
  <si>
    <t>MY Sea Project</t>
  </si>
  <si>
    <t>Cups &amp; Plates (Plastic)</t>
  </si>
  <si>
    <t>Cups &amp; Plates (Paper)</t>
  </si>
  <si>
    <t xml:space="preserve">T-RaX III </t>
  </si>
  <si>
    <t>Paper Bags</t>
  </si>
  <si>
    <t>Other Plastic Bags</t>
  </si>
  <si>
    <t>Grocery Bags (Plastic)</t>
  </si>
  <si>
    <t>Beverage Cans</t>
  </si>
  <si>
    <t>Beverage Bottles (Glass)</t>
  </si>
  <si>
    <t>Beverage Bottles (Plastic)</t>
  </si>
  <si>
    <t>Fork, Knives, Spoons</t>
  </si>
  <si>
    <t>Straw/Stirrers</t>
  </si>
  <si>
    <t>Lids (Plastic)</t>
  </si>
  <si>
    <t>Bottle Caps (Metal)</t>
  </si>
  <si>
    <t>Palabuhan Ratu</t>
  </si>
  <si>
    <t>Bottle Caps (Plastic)</t>
  </si>
  <si>
    <t>Take Out/Away Containers (Foam)</t>
  </si>
  <si>
    <t>Take Out/Away Containers (Plastic)</t>
  </si>
  <si>
    <t>Food Wrapper (candy, chips,etc)</t>
  </si>
  <si>
    <t>Cigarette Butts</t>
  </si>
  <si>
    <t>Lat</t>
  </si>
  <si>
    <t>Lon</t>
  </si>
  <si>
    <t>Places</t>
  </si>
  <si>
    <t>MOST LIKELY TO FIND ITEMS</t>
  </si>
  <si>
    <t>A</t>
  </si>
  <si>
    <t>Total Items</t>
  </si>
  <si>
    <t>Distance (meter)</t>
  </si>
  <si>
    <t>Weight (kilos)</t>
  </si>
  <si>
    <t>Location (LAT/LON)</t>
  </si>
  <si>
    <t>Year</t>
  </si>
  <si>
    <t>Month</t>
  </si>
  <si>
    <t>No</t>
  </si>
  <si>
    <t>MS Field Survey</t>
  </si>
  <si>
    <t>Pari Island</t>
  </si>
  <si>
    <t>Harapan Island</t>
  </si>
  <si>
    <t>Untung Jawa Island</t>
  </si>
  <si>
    <t>Kelor Island</t>
  </si>
  <si>
    <t xml:space="preserve"> Handeuleum Island</t>
  </si>
  <si>
    <t>Panjang Island</t>
  </si>
  <si>
    <t>Tunda Island</t>
  </si>
  <si>
    <t>West Coast, Pangandaran</t>
  </si>
  <si>
    <t xml:space="preserve">Community Service - Coastal Clean Up </t>
  </si>
  <si>
    <t>Biawak Island</t>
  </si>
  <si>
    <t>Categories</t>
  </si>
  <si>
    <t>Expedition/
Project</t>
  </si>
  <si>
    <t>FENJ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</si>
</sst>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indexed="8"/>
      <name val="Calibri"/>
      <family val="2"/>
      <charset val="134"/>
    </font>
    <font>
      <sz val="11"/>
      <color indexed="9"/>
      <name val="Calibri"/>
      <family val="2"/>
      <charset val="134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9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>
      <alignment horizontal="right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5" fillId="4" borderId="11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wrapText="1"/>
    </xf>
    <xf numFmtId="0" fontId="4" fillId="8" borderId="1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view="pageBreakPreview" zoomScale="60" zoomScaleNormal="70" zoomScalePageLayoutView="150" workbookViewId="0">
      <pane ySplit="2" topLeftCell="A3" activePane="bottomLeft" state="frozen"/>
      <selection activeCell="E1" sqref="E1"/>
      <selection pane="bottomLeft" activeCell="B25" sqref="B25"/>
    </sheetView>
  </sheetViews>
  <sheetFormatPr defaultColWidth="9" defaultRowHeight="14.5"/>
  <cols>
    <col min="1" max="1" width="6.6328125" style="1" customWidth="1"/>
    <col min="2" max="2" width="39.453125" style="1" customWidth="1"/>
    <col min="3" max="16384" width="9" style="1"/>
  </cols>
  <sheetData>
    <row r="1" spans="1:3" ht="14.5" customHeight="1">
      <c r="A1" s="5" t="s">
        <v>78</v>
      </c>
      <c r="B1" s="5" t="s">
        <v>90</v>
      </c>
    </row>
    <row r="2" spans="1:3">
      <c r="A2" s="38" t="s">
        <v>71</v>
      </c>
      <c r="B2" s="39" t="s">
        <v>70</v>
      </c>
    </row>
    <row r="3" spans="1:3" ht="14.5" customHeight="1">
      <c r="A3" s="40">
        <v>1</v>
      </c>
      <c r="B3" s="41" t="s">
        <v>66</v>
      </c>
      <c r="C3" s="4"/>
    </row>
    <row r="4" spans="1:3">
      <c r="A4" s="40">
        <v>2</v>
      </c>
      <c r="B4" s="41" t="s">
        <v>65</v>
      </c>
      <c r="C4" s="4"/>
    </row>
    <row r="5" spans="1:3">
      <c r="A5" s="40">
        <v>3</v>
      </c>
      <c r="B5" s="42" t="s">
        <v>64</v>
      </c>
      <c r="C5" s="4"/>
    </row>
    <row r="6" spans="1:3">
      <c r="A6" s="40">
        <v>4</v>
      </c>
      <c r="B6" s="42" t="s">
        <v>63</v>
      </c>
      <c r="C6" s="4"/>
    </row>
    <row r="7" spans="1:3" ht="15" customHeight="1">
      <c r="A7" s="40">
        <v>5</v>
      </c>
      <c r="B7" s="42" t="s">
        <v>62</v>
      </c>
      <c r="C7" s="4"/>
    </row>
    <row r="8" spans="1:3">
      <c r="A8" s="40">
        <v>6</v>
      </c>
      <c r="B8" s="42" t="s">
        <v>60</v>
      </c>
      <c r="C8" s="4"/>
    </row>
    <row r="9" spans="1:3">
      <c r="A9" s="40">
        <v>7</v>
      </c>
      <c r="B9" s="42" t="s">
        <v>59</v>
      </c>
      <c r="C9" s="4"/>
    </row>
    <row r="10" spans="1:3">
      <c r="A10" s="40">
        <v>8</v>
      </c>
      <c r="B10" s="42" t="s">
        <v>58</v>
      </c>
      <c r="C10" s="4"/>
    </row>
    <row r="11" spans="1:3">
      <c r="A11" s="40">
        <v>9</v>
      </c>
      <c r="B11" s="42" t="s">
        <v>57</v>
      </c>
      <c r="C11" s="4"/>
    </row>
    <row r="12" spans="1:3">
      <c r="A12" s="40">
        <v>10</v>
      </c>
      <c r="B12" s="42" t="s">
        <v>56</v>
      </c>
      <c r="C12" s="4"/>
    </row>
    <row r="13" spans="1:3">
      <c r="A13" s="40">
        <v>11</v>
      </c>
      <c r="B13" s="42" t="s">
        <v>55</v>
      </c>
      <c r="C13" s="4"/>
    </row>
    <row r="14" spans="1:3">
      <c r="A14" s="40">
        <v>12</v>
      </c>
      <c r="B14" s="42" t="s">
        <v>54</v>
      </c>
      <c r="C14" s="4"/>
    </row>
    <row r="15" spans="1:3" ht="14.5" customHeight="1">
      <c r="A15" s="40">
        <v>13</v>
      </c>
      <c r="B15" s="42" t="s">
        <v>53</v>
      </c>
      <c r="C15" s="4"/>
    </row>
    <row r="16" spans="1:3">
      <c r="A16" s="40">
        <v>14</v>
      </c>
      <c r="B16" s="42" t="s">
        <v>52</v>
      </c>
      <c r="C16" s="4"/>
    </row>
    <row r="17" spans="1:3" ht="14.5" customHeight="1">
      <c r="A17" s="40">
        <v>15</v>
      </c>
      <c r="B17" s="42" t="s">
        <v>51</v>
      </c>
      <c r="C17" s="4"/>
    </row>
    <row r="18" spans="1:3">
      <c r="A18" s="40">
        <v>16</v>
      </c>
      <c r="B18" s="42" t="s">
        <v>49</v>
      </c>
      <c r="C18" s="4"/>
    </row>
    <row r="19" spans="1:3" ht="14.5" customHeight="1">
      <c r="A19" s="40">
        <v>17</v>
      </c>
      <c r="B19" s="42" t="s">
        <v>48</v>
      </c>
      <c r="C19" s="4"/>
    </row>
    <row r="20" spans="1:3">
      <c r="A20" s="40">
        <v>18</v>
      </c>
      <c r="B20" s="42" t="s">
        <v>46</v>
      </c>
      <c r="C20" s="4"/>
    </row>
    <row r="21" spans="1:3">
      <c r="A21" s="38" t="s">
        <v>45</v>
      </c>
      <c r="B21" s="39" t="s">
        <v>44</v>
      </c>
      <c r="C21" s="3"/>
    </row>
    <row r="22" spans="1:3" ht="15" customHeight="1">
      <c r="A22" s="40">
        <v>1</v>
      </c>
      <c r="B22" s="42" t="s">
        <v>43</v>
      </c>
      <c r="C22" s="3"/>
    </row>
    <row r="23" spans="1:3">
      <c r="A23" s="40">
        <v>2</v>
      </c>
      <c r="B23" s="42" t="s">
        <v>42</v>
      </c>
    </row>
    <row r="24" spans="1:3">
      <c r="A24" s="40">
        <v>3</v>
      </c>
      <c r="B24" s="42" t="s">
        <v>41</v>
      </c>
      <c r="C24" s="4"/>
    </row>
    <row r="25" spans="1:3">
      <c r="A25" s="40">
        <v>4</v>
      </c>
      <c r="B25" s="42" t="s">
        <v>38</v>
      </c>
      <c r="C25" s="3"/>
    </row>
    <row r="26" spans="1:3" ht="14.5" customHeight="1">
      <c r="A26" s="38" t="s">
        <v>37</v>
      </c>
      <c r="B26" s="39" t="s">
        <v>36</v>
      </c>
      <c r="C26" s="3"/>
    </row>
    <row r="27" spans="1:3">
      <c r="A27" s="40">
        <v>1</v>
      </c>
      <c r="B27" s="42" t="s">
        <v>35</v>
      </c>
      <c r="C27" s="4"/>
    </row>
    <row r="28" spans="1:3">
      <c r="A28" s="40">
        <v>2</v>
      </c>
      <c r="B28" s="42" t="s">
        <v>34</v>
      </c>
      <c r="C28" s="4"/>
    </row>
    <row r="29" spans="1:3">
      <c r="A29" s="40">
        <v>3</v>
      </c>
      <c r="B29" s="42" t="s">
        <v>33</v>
      </c>
    </row>
    <row r="30" spans="1:3">
      <c r="A30" s="40">
        <v>4</v>
      </c>
      <c r="B30" s="42" t="s">
        <v>32</v>
      </c>
      <c r="C30" s="4"/>
    </row>
    <row r="31" spans="1:3">
      <c r="A31" s="40">
        <v>5</v>
      </c>
      <c r="B31" s="42" t="s">
        <v>31</v>
      </c>
      <c r="C31" s="4"/>
    </row>
    <row r="32" spans="1:3">
      <c r="A32" s="38" t="s">
        <v>30</v>
      </c>
      <c r="B32" s="39" t="s">
        <v>29</v>
      </c>
    </row>
    <row r="33" spans="1:3">
      <c r="A33" s="40">
        <v>1</v>
      </c>
      <c r="B33" s="42" t="s">
        <v>28</v>
      </c>
      <c r="C33" s="3"/>
    </row>
    <row r="34" spans="1:3">
      <c r="A34" s="40">
        <v>2</v>
      </c>
      <c r="B34" s="42" t="s">
        <v>27</v>
      </c>
      <c r="C34" s="4"/>
    </row>
    <row r="35" spans="1:3">
      <c r="A35" s="40">
        <v>3</v>
      </c>
      <c r="B35" s="42" t="s">
        <v>26</v>
      </c>
      <c r="C35" s="3"/>
    </row>
    <row r="36" spans="1:3">
      <c r="A36" s="40">
        <v>4</v>
      </c>
      <c r="B36" s="42" t="s">
        <v>25</v>
      </c>
      <c r="C36" s="3"/>
    </row>
    <row r="37" spans="1:3">
      <c r="A37" s="38" t="s">
        <v>23</v>
      </c>
      <c r="B37" s="39" t="s">
        <v>22</v>
      </c>
      <c r="C37" s="3"/>
    </row>
    <row r="38" spans="1:3">
      <c r="A38" s="40">
        <v>1</v>
      </c>
      <c r="B38" s="42" t="s">
        <v>21</v>
      </c>
      <c r="C38" s="4"/>
    </row>
    <row r="39" spans="1:3">
      <c r="A39" s="40">
        <v>2</v>
      </c>
      <c r="B39" s="42" t="s">
        <v>20</v>
      </c>
      <c r="C39" s="4"/>
    </row>
    <row r="40" spans="1:3" ht="14.5" customHeight="1">
      <c r="A40" s="40">
        <v>3</v>
      </c>
      <c r="B40" s="42" t="s">
        <v>19</v>
      </c>
      <c r="C40" s="4"/>
    </row>
    <row r="41" spans="1:3">
      <c r="A41" s="40">
        <v>4</v>
      </c>
      <c r="B41" s="42" t="s">
        <v>17</v>
      </c>
      <c r="C41" s="4"/>
    </row>
    <row r="42" spans="1:3">
      <c r="A42" s="40">
        <v>5</v>
      </c>
      <c r="B42" s="42" t="s">
        <v>16</v>
      </c>
      <c r="C42" s="4"/>
    </row>
    <row r="43" spans="1:3">
      <c r="A43" s="40">
        <v>6</v>
      </c>
      <c r="B43" s="42" t="s">
        <v>15</v>
      </c>
      <c r="C43" s="3"/>
    </row>
    <row r="44" spans="1:3">
      <c r="A44" s="40">
        <v>7</v>
      </c>
      <c r="B44" s="42" t="s">
        <v>14</v>
      </c>
      <c r="C44" s="3"/>
    </row>
    <row r="45" spans="1:3">
      <c r="A45" s="38" t="s">
        <v>13</v>
      </c>
      <c r="B45" s="39" t="s">
        <v>12</v>
      </c>
      <c r="C45" s="3"/>
    </row>
    <row r="46" spans="1:3">
      <c r="A46" s="40">
        <v>1</v>
      </c>
      <c r="B46" s="42" t="s">
        <v>11</v>
      </c>
      <c r="C46" s="4"/>
    </row>
    <row r="47" spans="1:3">
      <c r="A47" s="40">
        <v>2</v>
      </c>
      <c r="B47" s="42" t="s">
        <v>10</v>
      </c>
      <c r="C47" s="4"/>
    </row>
    <row r="48" spans="1:3">
      <c r="A48" s="40">
        <v>3</v>
      </c>
      <c r="B48" s="42" t="s">
        <v>9</v>
      </c>
      <c r="C48" s="4"/>
    </row>
    <row r="50" ht="14.5" customHeight="1"/>
    <row r="51" ht="15" customHeight="1"/>
    <row r="52" ht="14.5" customHeight="1"/>
    <row r="56" ht="15" customHeight="1"/>
    <row r="61" ht="14.5" customHeight="1"/>
    <row r="66" ht="14.5" customHeight="1"/>
    <row r="76" ht="14.5" customHeight="1"/>
    <row r="81" spans="1:1">
      <c r="A81" s="2"/>
    </row>
    <row r="82" spans="1:1" ht="15" customHeight="1"/>
    <row r="83" spans="1:1" ht="15" customHeight="1"/>
    <row r="84" spans="1:1" ht="15" customHeight="1"/>
    <row r="85" spans="1:1" ht="15" customHeight="1"/>
    <row r="86" spans="1:1" ht="15" customHeight="1"/>
    <row r="87" spans="1:1" ht="15" customHeight="1"/>
    <row r="88" spans="1:1" ht="15" customHeight="1"/>
    <row r="99" ht="15" customHeight="1"/>
    <row r="104" ht="14.5" customHeight="1"/>
    <row r="115" ht="14.5" customHeight="1"/>
    <row r="119" ht="14.5" customHeight="1"/>
    <row r="121" ht="14.5" customHeight="1"/>
    <row r="128" ht="30" customHeight="1"/>
    <row r="135" ht="30" customHeight="1"/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Z83"/>
  <sheetViews>
    <sheetView tabSelected="1" view="pageBreakPreview" zoomScale="60" zoomScaleNormal="60" workbookViewId="0">
      <pane ySplit="3" topLeftCell="A60" activePane="bottomLeft" state="frozen"/>
      <selection pane="bottomLeft" activeCell="AU69" sqref="AU69"/>
    </sheetView>
  </sheetViews>
  <sheetFormatPr defaultColWidth="8.81640625" defaultRowHeight="14.5"/>
  <cols>
    <col min="1" max="1" width="8.81640625" style="32"/>
    <col min="2" max="2" width="3.36328125" style="32" bestFit="1" customWidth="1"/>
    <col min="3" max="3" width="11.1796875" style="32" bestFit="1" customWidth="1"/>
    <col min="4" max="4" width="6.453125" style="32" bestFit="1" customWidth="1"/>
    <col min="5" max="5" width="5.1796875" style="32" bestFit="1" customWidth="1"/>
    <col min="6" max="6" width="12.6328125" style="32" customWidth="1"/>
    <col min="7" max="7" width="9.1796875" style="32" bestFit="1" customWidth="1"/>
    <col min="8" max="8" width="8.1796875" style="32" bestFit="1" customWidth="1"/>
    <col min="9" max="11" width="4.1796875" style="32" bestFit="1" customWidth="1"/>
    <col min="12" max="12" width="3.1796875" style="32" bestFit="1" customWidth="1"/>
    <col min="13" max="14" width="4.1796875" style="32" bestFit="1" customWidth="1"/>
    <col min="15" max="15" width="3.1796875" style="32" bestFit="1" customWidth="1"/>
    <col min="16" max="16" width="4.1796875" style="32" bestFit="1" customWidth="1"/>
    <col min="17" max="17" width="3.1796875" style="32" bestFit="1" customWidth="1"/>
    <col min="18" max="22" width="4.1796875" style="32" bestFit="1" customWidth="1"/>
    <col min="23" max="23" width="3.1796875" style="32" bestFit="1" customWidth="1"/>
    <col min="24" max="26" width="4.1796875" style="32" bestFit="1" customWidth="1"/>
    <col min="27" max="28" width="3.1796875" style="32" bestFit="1" customWidth="1"/>
    <col min="29" max="29" width="4.1796875" style="32" bestFit="1" customWidth="1"/>
    <col min="30" max="31" width="3.1796875" style="32" bestFit="1" customWidth="1"/>
    <col min="32" max="32" width="4.1796875" style="32" bestFit="1" customWidth="1"/>
    <col min="33" max="37" width="3.1796875" style="32" bestFit="1" customWidth="1"/>
    <col min="38" max="38" width="2.1796875" style="32" bestFit="1" customWidth="1"/>
    <col min="39" max="40" width="3.1796875" style="32" bestFit="1" customWidth="1"/>
    <col min="41" max="41" width="2.1796875" style="32" bestFit="1" customWidth="1"/>
    <col min="42" max="46" width="3.1796875" style="32" bestFit="1" customWidth="1"/>
    <col min="47" max="49" width="4.1796875" style="32" bestFit="1" customWidth="1"/>
    <col min="50" max="50" width="6.81640625" style="32" bestFit="1" customWidth="1"/>
    <col min="51" max="51" width="7.81640625" style="32" bestFit="1" customWidth="1"/>
    <col min="52" max="52" width="8.81640625" style="32" bestFit="1" customWidth="1"/>
    <col min="53" max="16384" width="8.81640625" style="32"/>
  </cols>
  <sheetData>
    <row r="2" spans="1:52" s="6" customFormat="1">
      <c r="B2" s="51" t="s">
        <v>78</v>
      </c>
      <c r="C2" s="52" t="s">
        <v>91</v>
      </c>
      <c r="D2" s="52" t="s">
        <v>77</v>
      </c>
      <c r="E2" s="51" t="s">
        <v>76</v>
      </c>
      <c r="F2" s="51" t="s">
        <v>75</v>
      </c>
      <c r="G2" s="51"/>
      <c r="H2" s="51"/>
      <c r="I2" s="61" t="s">
        <v>71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3"/>
      <c r="AA2" s="64" t="s">
        <v>45</v>
      </c>
      <c r="AB2" s="65"/>
      <c r="AC2" s="65"/>
      <c r="AD2" s="66"/>
      <c r="AE2" s="48" t="s">
        <v>37</v>
      </c>
      <c r="AF2" s="49"/>
      <c r="AG2" s="49"/>
      <c r="AH2" s="49"/>
      <c r="AI2" s="50"/>
      <c r="AJ2" s="45" t="s">
        <v>30</v>
      </c>
      <c r="AK2" s="46"/>
      <c r="AL2" s="46"/>
      <c r="AM2" s="47"/>
      <c r="AN2" s="53" t="s">
        <v>23</v>
      </c>
      <c r="AO2" s="54"/>
      <c r="AP2" s="54"/>
      <c r="AQ2" s="54"/>
      <c r="AR2" s="54"/>
      <c r="AS2" s="54"/>
      <c r="AT2" s="55"/>
      <c r="AU2" s="56" t="s">
        <v>13</v>
      </c>
      <c r="AV2" s="57"/>
      <c r="AW2" s="57"/>
      <c r="AX2" s="58" t="s">
        <v>74</v>
      </c>
      <c r="AY2" s="58" t="s">
        <v>73</v>
      </c>
      <c r="AZ2" s="60" t="s">
        <v>72</v>
      </c>
    </row>
    <row r="3" spans="1:52" s="6" customFormat="1">
      <c r="A3" s="7"/>
      <c r="B3" s="51"/>
      <c r="C3" s="52"/>
      <c r="D3" s="52"/>
      <c r="E3" s="51"/>
      <c r="F3" s="8" t="s">
        <v>69</v>
      </c>
      <c r="G3" s="9" t="s">
        <v>68</v>
      </c>
      <c r="H3" s="9" t="s">
        <v>67</v>
      </c>
      <c r="I3" s="10">
        <v>1</v>
      </c>
      <c r="J3" s="11">
        <v>2</v>
      </c>
      <c r="K3" s="11">
        <v>3</v>
      </c>
      <c r="L3" s="11">
        <v>4</v>
      </c>
      <c r="M3" s="11">
        <v>5</v>
      </c>
      <c r="N3" s="11">
        <v>6</v>
      </c>
      <c r="O3" s="11">
        <v>7</v>
      </c>
      <c r="P3" s="11">
        <v>8</v>
      </c>
      <c r="Q3" s="11">
        <v>9</v>
      </c>
      <c r="R3" s="11">
        <v>10</v>
      </c>
      <c r="S3" s="11">
        <v>11</v>
      </c>
      <c r="T3" s="11">
        <v>12</v>
      </c>
      <c r="U3" s="11">
        <v>13</v>
      </c>
      <c r="V3" s="11">
        <v>14</v>
      </c>
      <c r="W3" s="11">
        <v>15</v>
      </c>
      <c r="X3" s="11">
        <v>16</v>
      </c>
      <c r="Y3" s="11">
        <v>17</v>
      </c>
      <c r="Z3" s="12">
        <v>18</v>
      </c>
      <c r="AA3" s="13">
        <v>1</v>
      </c>
      <c r="AB3" s="14">
        <v>2</v>
      </c>
      <c r="AC3" s="14">
        <v>3</v>
      </c>
      <c r="AD3" s="15">
        <v>4</v>
      </c>
      <c r="AE3" s="16">
        <v>1</v>
      </c>
      <c r="AF3" s="17">
        <v>2</v>
      </c>
      <c r="AG3" s="17">
        <v>3</v>
      </c>
      <c r="AH3" s="17">
        <v>4</v>
      </c>
      <c r="AI3" s="18">
        <v>5</v>
      </c>
      <c r="AJ3" s="19">
        <v>1</v>
      </c>
      <c r="AK3" s="20">
        <v>2</v>
      </c>
      <c r="AL3" s="20">
        <v>3</v>
      </c>
      <c r="AM3" s="21">
        <v>4</v>
      </c>
      <c r="AN3" s="22">
        <v>1</v>
      </c>
      <c r="AO3" s="23">
        <v>2</v>
      </c>
      <c r="AP3" s="23">
        <v>3</v>
      </c>
      <c r="AQ3" s="23">
        <v>4</v>
      </c>
      <c r="AR3" s="23">
        <v>5</v>
      </c>
      <c r="AS3" s="23">
        <v>6</v>
      </c>
      <c r="AT3" s="24">
        <v>7</v>
      </c>
      <c r="AU3" s="25">
        <v>1</v>
      </c>
      <c r="AV3" s="26">
        <v>2</v>
      </c>
      <c r="AW3" s="27">
        <v>3</v>
      </c>
      <c r="AX3" s="59"/>
      <c r="AY3" s="59"/>
      <c r="AZ3" s="60"/>
    </row>
    <row r="4" spans="1:52" s="31" customFormat="1">
      <c r="A4" s="28">
        <v>1</v>
      </c>
      <c r="B4" s="43">
        <v>1</v>
      </c>
      <c r="C4" s="44" t="s">
        <v>79</v>
      </c>
      <c r="D4" s="44" t="s">
        <v>7</v>
      </c>
      <c r="E4" s="43">
        <v>2014</v>
      </c>
      <c r="F4" s="44" t="s">
        <v>80</v>
      </c>
      <c r="G4" s="34">
        <v>106.61669999999999</v>
      </c>
      <c r="H4" s="34">
        <v>-5.8566000000000003</v>
      </c>
      <c r="I4" s="29">
        <v>2</v>
      </c>
      <c r="J4" s="29">
        <v>89</v>
      </c>
      <c r="K4" s="29">
        <v>40</v>
      </c>
      <c r="L4" s="29">
        <v>0</v>
      </c>
      <c r="M4" s="29">
        <v>0</v>
      </c>
      <c r="N4" s="29">
        <v>0</v>
      </c>
      <c r="O4" s="29">
        <v>4</v>
      </c>
      <c r="P4" s="29">
        <v>13</v>
      </c>
      <c r="Q4" s="29">
        <v>0</v>
      </c>
      <c r="R4" s="29">
        <v>2</v>
      </c>
      <c r="S4" s="29">
        <v>6</v>
      </c>
      <c r="T4" s="29">
        <v>0</v>
      </c>
      <c r="U4" s="29">
        <v>2</v>
      </c>
      <c r="V4" s="29">
        <v>3</v>
      </c>
      <c r="W4" s="29">
        <v>1</v>
      </c>
      <c r="X4" s="29">
        <v>0</v>
      </c>
      <c r="Y4" s="29">
        <v>3</v>
      </c>
      <c r="Z4" s="29">
        <v>1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24</v>
      </c>
      <c r="AY4" s="29">
        <v>100</v>
      </c>
      <c r="AZ4" s="30">
        <f t="shared" ref="AZ4:AZ35" si="0">SUM(I4:AW4)</f>
        <v>166</v>
      </c>
    </row>
    <row r="5" spans="1:52" s="31" customFormat="1">
      <c r="A5" s="28">
        <v>2</v>
      </c>
      <c r="B5" s="43"/>
      <c r="C5" s="44"/>
      <c r="D5" s="44"/>
      <c r="E5" s="43"/>
      <c r="F5" s="44"/>
      <c r="G5" s="34">
        <v>106.6147</v>
      </c>
      <c r="H5" s="34">
        <v>-5.8613</v>
      </c>
      <c r="I5" s="29">
        <v>48</v>
      </c>
      <c r="J5" s="29">
        <v>427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79</v>
      </c>
      <c r="Q5" s="29">
        <v>2</v>
      </c>
      <c r="R5" s="29">
        <v>13</v>
      </c>
      <c r="S5" s="29">
        <v>7</v>
      </c>
      <c r="T5" s="29">
        <v>5</v>
      </c>
      <c r="U5" s="29">
        <v>20</v>
      </c>
      <c r="V5" s="29">
        <v>3</v>
      </c>
      <c r="W5" s="29">
        <v>0</v>
      </c>
      <c r="X5" s="29">
        <v>0</v>
      </c>
      <c r="Y5" s="29">
        <v>13</v>
      </c>
      <c r="Z5" s="29">
        <v>0</v>
      </c>
      <c r="AA5" s="29">
        <v>1</v>
      </c>
      <c r="AB5" s="29">
        <v>0</v>
      </c>
      <c r="AC5" s="29">
        <v>0</v>
      </c>
      <c r="AD5" s="29">
        <v>0</v>
      </c>
      <c r="AE5" s="29">
        <v>0</v>
      </c>
      <c r="AF5" s="29">
        <v>136</v>
      </c>
      <c r="AG5" s="29">
        <v>1</v>
      </c>
      <c r="AH5" s="29">
        <v>0</v>
      </c>
      <c r="AI5" s="29">
        <v>3</v>
      </c>
      <c r="AJ5" s="29">
        <v>0</v>
      </c>
      <c r="AK5" s="29">
        <v>14</v>
      </c>
      <c r="AL5" s="29">
        <v>0</v>
      </c>
      <c r="AM5" s="29">
        <v>0</v>
      </c>
      <c r="AN5" s="29">
        <v>4</v>
      </c>
      <c r="AO5" s="29">
        <v>0</v>
      </c>
      <c r="AP5" s="29">
        <v>0</v>
      </c>
      <c r="AQ5" s="29">
        <v>1</v>
      </c>
      <c r="AR5" s="29">
        <v>4</v>
      </c>
      <c r="AS5" s="29">
        <v>0</v>
      </c>
      <c r="AT5" s="29">
        <v>0</v>
      </c>
      <c r="AU5" s="29">
        <v>3</v>
      </c>
      <c r="AV5" s="29">
        <v>3</v>
      </c>
      <c r="AW5" s="29">
        <v>0</v>
      </c>
      <c r="AX5" s="29">
        <v>22.5</v>
      </c>
      <c r="AY5" s="29">
        <v>100</v>
      </c>
      <c r="AZ5" s="30">
        <f t="shared" si="0"/>
        <v>787</v>
      </c>
    </row>
    <row r="6" spans="1:52" s="31" customFormat="1">
      <c r="A6" s="28">
        <v>3</v>
      </c>
      <c r="B6" s="43"/>
      <c r="C6" s="44"/>
      <c r="D6" s="44"/>
      <c r="E6" s="43"/>
      <c r="F6" s="44"/>
      <c r="G6" s="34">
        <v>106.6121</v>
      </c>
      <c r="H6" s="34">
        <v>-5.8619000000000003</v>
      </c>
      <c r="I6" s="29">
        <v>0</v>
      </c>
      <c r="J6" s="29">
        <v>596</v>
      </c>
      <c r="K6" s="29">
        <v>19</v>
      </c>
      <c r="L6" s="29">
        <v>0</v>
      </c>
      <c r="M6" s="29">
        <v>70</v>
      </c>
      <c r="N6" s="29">
        <v>2</v>
      </c>
      <c r="O6" s="29">
        <v>0</v>
      </c>
      <c r="P6" s="29">
        <v>60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19</v>
      </c>
      <c r="W6" s="29">
        <v>0</v>
      </c>
      <c r="X6" s="29">
        <v>0</v>
      </c>
      <c r="Y6" s="29">
        <v>44</v>
      </c>
      <c r="Z6" s="29">
        <v>0</v>
      </c>
      <c r="AA6" s="29">
        <v>0</v>
      </c>
      <c r="AB6" s="29">
        <v>3</v>
      </c>
      <c r="AC6" s="29">
        <v>7</v>
      </c>
      <c r="AD6" s="29">
        <v>0</v>
      </c>
      <c r="AE6" s="29">
        <v>0</v>
      </c>
      <c r="AF6" s="29">
        <v>0</v>
      </c>
      <c r="AG6" s="29">
        <v>2</v>
      </c>
      <c r="AH6" s="29">
        <v>1</v>
      </c>
      <c r="AI6" s="29">
        <v>1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7</v>
      </c>
      <c r="AS6" s="29">
        <v>0</v>
      </c>
      <c r="AT6" s="29">
        <v>0</v>
      </c>
      <c r="AU6" s="29">
        <v>2</v>
      </c>
      <c r="AV6" s="29">
        <v>3</v>
      </c>
      <c r="AW6" s="29">
        <v>0</v>
      </c>
      <c r="AX6" s="29">
        <v>31</v>
      </c>
      <c r="AY6" s="29">
        <v>100</v>
      </c>
      <c r="AZ6" s="30">
        <f t="shared" si="0"/>
        <v>836</v>
      </c>
    </row>
    <row r="7" spans="1:52" s="31" customFormat="1">
      <c r="A7" s="28">
        <v>4</v>
      </c>
      <c r="B7" s="43"/>
      <c r="C7" s="44"/>
      <c r="D7" s="44"/>
      <c r="E7" s="43"/>
      <c r="F7" s="44"/>
      <c r="G7" s="34">
        <v>106.6101</v>
      </c>
      <c r="H7" s="34">
        <v>-5.8640999999999996</v>
      </c>
      <c r="I7" s="29">
        <v>5</v>
      </c>
      <c r="J7" s="29">
        <v>77</v>
      </c>
      <c r="K7" s="29">
        <v>30</v>
      </c>
      <c r="L7" s="29">
        <v>0</v>
      </c>
      <c r="M7" s="29">
        <v>15</v>
      </c>
      <c r="N7" s="29">
        <v>11</v>
      </c>
      <c r="O7" s="29">
        <v>80</v>
      </c>
      <c r="P7" s="29">
        <v>44</v>
      </c>
      <c r="Q7" s="29">
        <v>3</v>
      </c>
      <c r="R7" s="29">
        <v>24</v>
      </c>
      <c r="S7" s="29">
        <v>28</v>
      </c>
      <c r="T7" s="29">
        <v>4</v>
      </c>
      <c r="U7" s="29">
        <v>4</v>
      </c>
      <c r="V7" s="29">
        <v>19</v>
      </c>
      <c r="W7" s="29">
        <v>5</v>
      </c>
      <c r="X7" s="29">
        <v>0</v>
      </c>
      <c r="Y7" s="29">
        <v>47</v>
      </c>
      <c r="Z7" s="29">
        <v>5</v>
      </c>
      <c r="AA7" s="29">
        <v>14</v>
      </c>
      <c r="AB7" s="29">
        <v>1</v>
      </c>
      <c r="AC7" s="29">
        <v>14</v>
      </c>
      <c r="AD7" s="29">
        <v>0</v>
      </c>
      <c r="AE7" s="29">
        <v>0</v>
      </c>
      <c r="AF7" s="29">
        <v>5</v>
      </c>
      <c r="AG7" s="29">
        <v>0</v>
      </c>
      <c r="AH7" s="29">
        <v>0</v>
      </c>
      <c r="AI7" s="29">
        <v>0</v>
      </c>
      <c r="AJ7" s="29">
        <v>0</v>
      </c>
      <c r="AK7" s="29">
        <v>2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3</v>
      </c>
      <c r="AR7" s="29">
        <v>7</v>
      </c>
      <c r="AS7" s="29">
        <v>3</v>
      </c>
      <c r="AT7" s="29">
        <v>0</v>
      </c>
      <c r="AU7" s="29">
        <v>5</v>
      </c>
      <c r="AV7" s="29">
        <v>9</v>
      </c>
      <c r="AW7" s="29">
        <v>63</v>
      </c>
      <c r="AX7" s="29">
        <v>22</v>
      </c>
      <c r="AY7" s="29">
        <v>100</v>
      </c>
      <c r="AZ7" s="30">
        <f t="shared" si="0"/>
        <v>527</v>
      </c>
    </row>
    <row r="8" spans="1:52" s="31" customFormat="1">
      <c r="A8" s="28">
        <v>5</v>
      </c>
      <c r="B8" s="44">
        <v>2</v>
      </c>
      <c r="C8" s="44" t="s">
        <v>92</v>
      </c>
      <c r="D8" s="44" t="s">
        <v>5</v>
      </c>
      <c r="E8" s="43">
        <v>2015</v>
      </c>
      <c r="F8" s="44" t="s">
        <v>81</v>
      </c>
      <c r="G8" s="34">
        <v>106.5784</v>
      </c>
      <c r="H8" s="34">
        <v>-5.6516999999999999</v>
      </c>
      <c r="I8" s="29">
        <v>4</v>
      </c>
      <c r="J8" s="29">
        <v>220</v>
      </c>
      <c r="K8" s="29">
        <v>0</v>
      </c>
      <c r="L8" s="29">
        <v>7</v>
      </c>
      <c r="M8" s="29">
        <v>5</v>
      </c>
      <c r="N8" s="29">
        <v>0</v>
      </c>
      <c r="O8" s="29">
        <v>11</v>
      </c>
      <c r="P8" s="29">
        <v>70</v>
      </c>
      <c r="Q8" s="29">
        <v>13</v>
      </c>
      <c r="R8" s="29">
        <v>5</v>
      </c>
      <c r="S8" s="29">
        <v>3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114</v>
      </c>
      <c r="Z8" s="29">
        <v>1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9</v>
      </c>
      <c r="AK8" s="29">
        <v>0</v>
      </c>
      <c r="AL8" s="29">
        <v>0</v>
      </c>
      <c r="AM8" s="29">
        <v>0</v>
      </c>
      <c r="AN8" s="29">
        <v>0</v>
      </c>
      <c r="AO8" s="29">
        <v>3</v>
      </c>
      <c r="AP8" s="29">
        <v>0</v>
      </c>
      <c r="AQ8" s="29">
        <v>10</v>
      </c>
      <c r="AR8" s="29">
        <v>0</v>
      </c>
      <c r="AS8" s="29">
        <v>26</v>
      </c>
      <c r="AT8" s="29">
        <v>0</v>
      </c>
      <c r="AU8" s="29">
        <v>2</v>
      </c>
      <c r="AV8" s="29">
        <v>0</v>
      </c>
      <c r="AW8" s="29">
        <v>0</v>
      </c>
      <c r="AX8" s="29">
        <v>4</v>
      </c>
      <c r="AY8" s="29">
        <v>100</v>
      </c>
      <c r="AZ8" s="30">
        <f t="shared" si="0"/>
        <v>503</v>
      </c>
    </row>
    <row r="9" spans="1:52" s="31" customFormat="1">
      <c r="A9" s="28">
        <v>6</v>
      </c>
      <c r="B9" s="44"/>
      <c r="C9" s="44"/>
      <c r="D9" s="44"/>
      <c r="E9" s="43"/>
      <c r="F9" s="44"/>
      <c r="G9" s="34">
        <v>106.5784</v>
      </c>
      <c r="H9" s="34">
        <v>-5.6516000000000002</v>
      </c>
      <c r="I9" s="29">
        <v>213</v>
      </c>
      <c r="J9" s="29">
        <v>65</v>
      </c>
      <c r="K9" s="29">
        <v>0</v>
      </c>
      <c r="L9" s="29">
        <v>0</v>
      </c>
      <c r="M9" s="29">
        <v>3</v>
      </c>
      <c r="N9" s="29">
        <v>0</v>
      </c>
      <c r="O9" s="29">
        <v>0</v>
      </c>
      <c r="P9" s="29">
        <v>30</v>
      </c>
      <c r="Q9" s="29">
        <v>12</v>
      </c>
      <c r="R9" s="29">
        <v>12</v>
      </c>
      <c r="S9" s="29">
        <v>1</v>
      </c>
      <c r="T9" s="29">
        <v>0</v>
      </c>
      <c r="U9" s="29">
        <v>1</v>
      </c>
      <c r="V9" s="29">
        <v>0</v>
      </c>
      <c r="W9" s="29">
        <v>6</v>
      </c>
      <c r="X9" s="29">
        <v>18</v>
      </c>
      <c r="Y9" s="29">
        <v>9</v>
      </c>
      <c r="Z9" s="29">
        <v>4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2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11</v>
      </c>
      <c r="AT9" s="29">
        <v>0</v>
      </c>
      <c r="AU9" s="29">
        <v>28</v>
      </c>
      <c r="AV9" s="29">
        <v>0</v>
      </c>
      <c r="AW9" s="29">
        <v>60</v>
      </c>
      <c r="AX9" s="29">
        <v>3</v>
      </c>
      <c r="AY9" s="29">
        <v>100</v>
      </c>
      <c r="AZ9" s="30">
        <f t="shared" si="0"/>
        <v>475</v>
      </c>
    </row>
    <row r="10" spans="1:52" s="31" customFormat="1" ht="14.5" customHeight="1">
      <c r="A10" s="28">
        <v>7</v>
      </c>
      <c r="B10" s="43">
        <v>3</v>
      </c>
      <c r="C10" s="44" t="s">
        <v>79</v>
      </c>
      <c r="D10" s="44" t="s">
        <v>7</v>
      </c>
      <c r="E10" s="43">
        <v>2016</v>
      </c>
      <c r="F10" s="44" t="s">
        <v>82</v>
      </c>
      <c r="G10" s="34">
        <v>106.71120000000001</v>
      </c>
      <c r="H10" s="34">
        <v>-5.9791999999999996</v>
      </c>
      <c r="I10" s="29">
        <v>5</v>
      </c>
      <c r="J10" s="29">
        <v>3</v>
      </c>
      <c r="K10" s="29">
        <v>0</v>
      </c>
      <c r="L10" s="29">
        <v>8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2</v>
      </c>
      <c r="AC10" s="29">
        <v>1</v>
      </c>
      <c r="AD10" s="29">
        <v>0</v>
      </c>
      <c r="AE10" s="29">
        <v>0</v>
      </c>
      <c r="AF10" s="29">
        <v>5</v>
      </c>
      <c r="AG10" s="29">
        <v>0</v>
      </c>
      <c r="AH10" s="29">
        <v>0</v>
      </c>
      <c r="AI10" s="29">
        <v>1</v>
      </c>
      <c r="AJ10" s="29">
        <v>0</v>
      </c>
      <c r="AK10" s="29">
        <v>0</v>
      </c>
      <c r="AL10" s="29">
        <v>0</v>
      </c>
      <c r="AM10" s="29">
        <v>0</v>
      </c>
      <c r="AN10" s="29">
        <v>2</v>
      </c>
      <c r="AO10" s="29">
        <v>0</v>
      </c>
      <c r="AP10" s="29">
        <v>0</v>
      </c>
      <c r="AQ10" s="29">
        <v>0</v>
      </c>
      <c r="AR10" s="29">
        <v>1</v>
      </c>
      <c r="AS10" s="29">
        <v>0</v>
      </c>
      <c r="AT10" s="29">
        <v>0</v>
      </c>
      <c r="AU10" s="29">
        <v>0</v>
      </c>
      <c r="AV10" s="29">
        <v>0</v>
      </c>
      <c r="AW10" s="29">
        <v>48</v>
      </c>
      <c r="AX10" s="29">
        <v>16.399999999999999</v>
      </c>
      <c r="AY10" s="29">
        <v>100</v>
      </c>
      <c r="AZ10" s="30">
        <f t="shared" si="0"/>
        <v>84</v>
      </c>
    </row>
    <row r="11" spans="1:52" s="31" customFormat="1">
      <c r="A11" s="28">
        <v>8</v>
      </c>
      <c r="B11" s="43"/>
      <c r="C11" s="44"/>
      <c r="D11" s="44"/>
      <c r="E11" s="43"/>
      <c r="F11" s="44"/>
      <c r="G11" s="34">
        <v>106.7107</v>
      </c>
      <c r="H11" s="34">
        <v>-5.9771999999999998</v>
      </c>
      <c r="I11" s="29">
        <v>14</v>
      </c>
      <c r="J11" s="29">
        <v>8</v>
      </c>
      <c r="K11" s="29">
        <v>0</v>
      </c>
      <c r="L11" s="29">
        <v>0</v>
      </c>
      <c r="M11" s="29">
        <v>9</v>
      </c>
      <c r="N11" s="29">
        <v>0</v>
      </c>
      <c r="O11" s="29">
        <v>0</v>
      </c>
      <c r="P11" s="29">
        <v>19</v>
      </c>
      <c r="Q11" s="29">
        <v>0</v>
      </c>
      <c r="R11" s="29">
        <v>13</v>
      </c>
      <c r="S11" s="29">
        <v>8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8</v>
      </c>
      <c r="Z11" s="29">
        <v>0</v>
      </c>
      <c r="AA11" s="29">
        <v>0</v>
      </c>
      <c r="AB11" s="29">
        <v>2</v>
      </c>
      <c r="AC11" s="29">
        <v>1</v>
      </c>
      <c r="AD11" s="29">
        <v>0</v>
      </c>
      <c r="AE11" s="29">
        <v>0</v>
      </c>
      <c r="AF11" s="29">
        <v>0</v>
      </c>
      <c r="AG11" s="29">
        <v>0</v>
      </c>
      <c r="AH11" s="29">
        <v>13</v>
      </c>
      <c r="AI11" s="29">
        <v>0</v>
      </c>
      <c r="AJ11" s="29">
        <v>0</v>
      </c>
      <c r="AK11" s="29">
        <v>2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8</v>
      </c>
      <c r="AR11" s="29">
        <v>0</v>
      </c>
      <c r="AS11" s="29">
        <v>0</v>
      </c>
      <c r="AT11" s="29">
        <v>0</v>
      </c>
      <c r="AU11" s="29">
        <v>19</v>
      </c>
      <c r="AV11" s="29">
        <v>9</v>
      </c>
      <c r="AW11" s="29">
        <v>24</v>
      </c>
      <c r="AX11" s="29">
        <v>7</v>
      </c>
      <c r="AY11" s="29">
        <v>100</v>
      </c>
      <c r="AZ11" s="30">
        <f t="shared" si="0"/>
        <v>157</v>
      </c>
    </row>
    <row r="12" spans="1:52" s="31" customFormat="1">
      <c r="A12" s="28">
        <v>9</v>
      </c>
      <c r="B12" s="43"/>
      <c r="C12" s="44"/>
      <c r="D12" s="44"/>
      <c r="E12" s="43"/>
      <c r="F12" s="44"/>
      <c r="G12" s="34">
        <v>106.7094</v>
      </c>
      <c r="H12" s="34">
        <v>-5.9757999999999996</v>
      </c>
      <c r="I12" s="29">
        <v>7</v>
      </c>
      <c r="J12" s="29">
        <v>9</v>
      </c>
      <c r="K12" s="29">
        <v>0</v>
      </c>
      <c r="L12" s="29">
        <v>0</v>
      </c>
      <c r="M12" s="29">
        <v>8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12</v>
      </c>
      <c r="V12" s="29">
        <v>1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6</v>
      </c>
      <c r="AG12" s="29">
        <v>1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2</v>
      </c>
      <c r="AO12" s="29">
        <v>0</v>
      </c>
      <c r="AP12" s="29">
        <v>0</v>
      </c>
      <c r="AQ12" s="29">
        <v>1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8</v>
      </c>
      <c r="AY12" s="29">
        <v>100</v>
      </c>
      <c r="AZ12" s="30">
        <f t="shared" si="0"/>
        <v>47</v>
      </c>
    </row>
    <row r="13" spans="1:52" s="31" customFormat="1">
      <c r="A13" s="28">
        <v>10</v>
      </c>
      <c r="B13" s="43"/>
      <c r="C13" s="44"/>
      <c r="D13" s="44"/>
      <c r="E13" s="43"/>
      <c r="F13" s="44"/>
      <c r="G13" s="34">
        <v>106.7073</v>
      </c>
      <c r="H13" s="34">
        <v>-5.9748000000000001</v>
      </c>
      <c r="I13" s="29">
        <v>0</v>
      </c>
      <c r="J13" s="29">
        <v>35</v>
      </c>
      <c r="K13" s="29">
        <v>0</v>
      </c>
      <c r="L13" s="29">
        <v>25</v>
      </c>
      <c r="M13" s="29">
        <v>33</v>
      </c>
      <c r="N13" s="29">
        <v>0</v>
      </c>
      <c r="O13" s="29">
        <v>32</v>
      </c>
      <c r="P13" s="29">
        <v>121</v>
      </c>
      <c r="Q13" s="29">
        <v>0</v>
      </c>
      <c r="R13" s="29">
        <v>0</v>
      </c>
      <c r="S13" s="29">
        <v>5</v>
      </c>
      <c r="T13" s="29">
        <v>0</v>
      </c>
      <c r="U13" s="29">
        <v>0</v>
      </c>
      <c r="V13" s="29">
        <v>11</v>
      </c>
      <c r="W13" s="29">
        <v>0</v>
      </c>
      <c r="X13" s="29">
        <v>0</v>
      </c>
      <c r="Y13" s="29">
        <v>17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3</v>
      </c>
      <c r="AI13" s="29">
        <v>4</v>
      </c>
      <c r="AJ13" s="29">
        <v>1</v>
      </c>
      <c r="AK13" s="29">
        <v>1</v>
      </c>
      <c r="AL13" s="29">
        <v>1</v>
      </c>
      <c r="AM13" s="29">
        <v>0</v>
      </c>
      <c r="AN13" s="29">
        <v>0</v>
      </c>
      <c r="AO13" s="29">
        <v>0</v>
      </c>
      <c r="AP13" s="29">
        <v>0</v>
      </c>
      <c r="AQ13" s="29">
        <v>6</v>
      </c>
      <c r="AR13" s="29">
        <v>0</v>
      </c>
      <c r="AS13" s="29">
        <v>0</v>
      </c>
      <c r="AT13" s="29">
        <v>1</v>
      </c>
      <c r="AU13" s="29">
        <v>37</v>
      </c>
      <c r="AV13" s="29">
        <v>0</v>
      </c>
      <c r="AW13" s="29">
        <v>0</v>
      </c>
      <c r="AX13" s="29">
        <v>6.5</v>
      </c>
      <c r="AY13" s="29">
        <v>100</v>
      </c>
      <c r="AZ13" s="30">
        <f t="shared" si="0"/>
        <v>333</v>
      </c>
    </row>
    <row r="14" spans="1:52" s="31" customFormat="1">
      <c r="A14" s="28">
        <v>11</v>
      </c>
      <c r="B14" s="43"/>
      <c r="C14" s="44"/>
      <c r="D14" s="44"/>
      <c r="E14" s="43"/>
      <c r="F14" s="44"/>
      <c r="G14" s="34">
        <v>106.7051</v>
      </c>
      <c r="H14" s="34">
        <v>-5.9752000000000001</v>
      </c>
      <c r="I14" s="29">
        <v>20</v>
      </c>
      <c r="J14" s="29">
        <v>50</v>
      </c>
      <c r="K14" s="29">
        <v>45</v>
      </c>
      <c r="L14" s="29">
        <v>0</v>
      </c>
      <c r="M14" s="29">
        <v>55</v>
      </c>
      <c r="N14" s="29">
        <v>15</v>
      </c>
      <c r="O14" s="29">
        <v>0</v>
      </c>
      <c r="P14" s="29">
        <v>10</v>
      </c>
      <c r="Q14" s="29">
        <v>1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15</v>
      </c>
      <c r="X14" s="29">
        <v>10</v>
      </c>
      <c r="Y14" s="29">
        <v>0</v>
      </c>
      <c r="Z14" s="29">
        <v>0</v>
      </c>
      <c r="AA14" s="29">
        <v>0</v>
      </c>
      <c r="AB14" s="29">
        <v>1</v>
      </c>
      <c r="AC14" s="29">
        <v>3</v>
      </c>
      <c r="AD14" s="29">
        <v>0</v>
      </c>
      <c r="AE14" s="29">
        <v>0</v>
      </c>
      <c r="AF14" s="29">
        <v>1</v>
      </c>
      <c r="AG14" s="29">
        <v>0</v>
      </c>
      <c r="AH14" s="29">
        <v>0</v>
      </c>
      <c r="AI14" s="29">
        <v>18</v>
      </c>
      <c r="AJ14" s="29">
        <v>0</v>
      </c>
      <c r="AK14" s="29">
        <v>9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45</v>
      </c>
      <c r="AV14" s="29">
        <v>0</v>
      </c>
      <c r="AW14" s="29">
        <v>13</v>
      </c>
      <c r="AX14" s="29">
        <v>6</v>
      </c>
      <c r="AY14" s="29">
        <v>100</v>
      </c>
      <c r="AZ14" s="30">
        <f t="shared" si="0"/>
        <v>311</v>
      </c>
    </row>
    <row r="15" spans="1:52" s="31" customFormat="1">
      <c r="A15" s="28">
        <v>12</v>
      </c>
      <c r="B15" s="43"/>
      <c r="C15" s="44"/>
      <c r="D15" s="44"/>
      <c r="E15" s="43"/>
      <c r="F15" s="44"/>
      <c r="G15" s="34">
        <v>106.7034</v>
      </c>
      <c r="H15" s="34">
        <v>-5.9757999999999996</v>
      </c>
      <c r="I15" s="29">
        <v>0</v>
      </c>
      <c r="J15" s="29">
        <v>14</v>
      </c>
      <c r="K15" s="29">
        <v>1</v>
      </c>
      <c r="L15" s="29">
        <v>2</v>
      </c>
      <c r="M15" s="29">
        <v>1</v>
      </c>
      <c r="N15" s="29">
        <v>0</v>
      </c>
      <c r="O15" s="29">
        <v>1</v>
      </c>
      <c r="P15" s="29">
        <v>17</v>
      </c>
      <c r="Q15" s="29">
        <v>3</v>
      </c>
      <c r="R15" s="29">
        <v>0</v>
      </c>
      <c r="S15" s="29">
        <v>3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2</v>
      </c>
      <c r="Z15" s="29">
        <v>8</v>
      </c>
      <c r="AA15" s="29">
        <v>0</v>
      </c>
      <c r="AB15" s="29">
        <v>6</v>
      </c>
      <c r="AC15" s="29">
        <v>6</v>
      </c>
      <c r="AD15" s="29">
        <v>1</v>
      </c>
      <c r="AE15" s="29">
        <v>0</v>
      </c>
      <c r="AF15" s="29">
        <v>7</v>
      </c>
      <c r="AG15" s="29">
        <v>1</v>
      </c>
      <c r="AH15" s="29">
        <v>0</v>
      </c>
      <c r="AI15" s="29">
        <v>2</v>
      </c>
      <c r="AJ15" s="29">
        <v>0</v>
      </c>
      <c r="AK15" s="29">
        <v>0</v>
      </c>
      <c r="AL15" s="29">
        <v>0</v>
      </c>
      <c r="AM15" s="29">
        <v>1</v>
      </c>
      <c r="AN15" s="29">
        <v>0</v>
      </c>
      <c r="AO15" s="29">
        <v>1</v>
      </c>
      <c r="AP15" s="29">
        <v>0</v>
      </c>
      <c r="AQ15" s="29">
        <v>1</v>
      </c>
      <c r="AR15" s="29">
        <v>0</v>
      </c>
      <c r="AS15" s="29">
        <v>0</v>
      </c>
      <c r="AT15" s="29">
        <v>1</v>
      </c>
      <c r="AU15" s="29">
        <v>12</v>
      </c>
      <c r="AV15" s="29">
        <v>1</v>
      </c>
      <c r="AW15" s="29">
        <v>44</v>
      </c>
      <c r="AX15" s="29">
        <v>5</v>
      </c>
      <c r="AY15" s="29">
        <v>100</v>
      </c>
      <c r="AZ15" s="30">
        <f t="shared" si="0"/>
        <v>136</v>
      </c>
    </row>
    <row r="16" spans="1:52" s="31" customFormat="1">
      <c r="A16" s="28">
        <v>13</v>
      </c>
      <c r="B16" s="43"/>
      <c r="C16" s="44"/>
      <c r="D16" s="44"/>
      <c r="E16" s="43"/>
      <c r="F16" s="44"/>
      <c r="G16" s="34">
        <v>106.7025</v>
      </c>
      <c r="H16" s="34">
        <v>-5.9768999999999997</v>
      </c>
      <c r="I16" s="29">
        <v>0</v>
      </c>
      <c r="J16" s="29">
        <v>7</v>
      </c>
      <c r="K16" s="29">
        <v>2</v>
      </c>
      <c r="L16" s="29">
        <v>0</v>
      </c>
      <c r="M16" s="29">
        <v>0</v>
      </c>
      <c r="N16" s="29">
        <v>0</v>
      </c>
      <c r="O16" s="29">
        <v>3</v>
      </c>
      <c r="P16" s="29">
        <v>0</v>
      </c>
      <c r="Q16" s="29">
        <v>2</v>
      </c>
      <c r="R16" s="29">
        <v>0</v>
      </c>
      <c r="S16" s="29">
        <v>0</v>
      </c>
      <c r="T16" s="29">
        <v>0</v>
      </c>
      <c r="U16" s="29">
        <v>0</v>
      </c>
      <c r="V16" s="29">
        <v>2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1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100</v>
      </c>
      <c r="AZ16" s="30">
        <f t="shared" si="0"/>
        <v>17</v>
      </c>
    </row>
    <row r="17" spans="1:52" s="31" customFormat="1">
      <c r="A17" s="28">
        <v>14</v>
      </c>
      <c r="B17" s="43"/>
      <c r="C17" s="44"/>
      <c r="D17" s="44"/>
      <c r="E17" s="43"/>
      <c r="F17" s="44"/>
      <c r="G17" s="34">
        <v>106.7041</v>
      </c>
      <c r="H17" s="34">
        <v>-5.9781000000000004</v>
      </c>
      <c r="I17" s="29">
        <v>40</v>
      </c>
      <c r="J17" s="29">
        <v>19</v>
      </c>
      <c r="K17" s="29">
        <v>0</v>
      </c>
      <c r="L17" s="29">
        <v>0</v>
      </c>
      <c r="M17" s="29">
        <v>10</v>
      </c>
      <c r="N17" s="29">
        <v>1</v>
      </c>
      <c r="O17" s="29">
        <v>3</v>
      </c>
      <c r="P17" s="29">
        <v>28</v>
      </c>
      <c r="Q17" s="29">
        <v>7</v>
      </c>
      <c r="R17" s="29">
        <v>14</v>
      </c>
      <c r="S17" s="29">
        <v>4</v>
      </c>
      <c r="T17" s="29">
        <v>1</v>
      </c>
      <c r="U17" s="29">
        <v>6</v>
      </c>
      <c r="V17" s="29">
        <v>20</v>
      </c>
      <c r="W17" s="29">
        <v>0</v>
      </c>
      <c r="X17" s="29">
        <v>1</v>
      </c>
      <c r="Y17" s="29">
        <v>3</v>
      </c>
      <c r="Z17" s="29">
        <v>12</v>
      </c>
      <c r="AA17" s="29">
        <v>0</v>
      </c>
      <c r="AB17" s="29">
        <v>8</v>
      </c>
      <c r="AC17" s="29">
        <v>0</v>
      </c>
      <c r="AD17" s="29">
        <v>0</v>
      </c>
      <c r="AE17" s="29">
        <v>0</v>
      </c>
      <c r="AF17" s="29">
        <v>8</v>
      </c>
      <c r="AG17" s="29">
        <v>0</v>
      </c>
      <c r="AH17" s="29">
        <v>0</v>
      </c>
      <c r="AI17" s="29">
        <v>0</v>
      </c>
      <c r="AJ17" s="29">
        <v>0</v>
      </c>
      <c r="AK17" s="29">
        <v>2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5</v>
      </c>
      <c r="AR17" s="29">
        <v>0</v>
      </c>
      <c r="AS17" s="29">
        <v>0</v>
      </c>
      <c r="AT17" s="29">
        <v>0</v>
      </c>
      <c r="AU17" s="29">
        <v>12</v>
      </c>
      <c r="AV17" s="29">
        <v>4</v>
      </c>
      <c r="AW17" s="29">
        <v>17</v>
      </c>
      <c r="AX17" s="29">
        <v>11</v>
      </c>
      <c r="AY17" s="29">
        <v>100</v>
      </c>
      <c r="AZ17" s="30">
        <f t="shared" si="0"/>
        <v>225</v>
      </c>
    </row>
    <row r="18" spans="1:52" s="31" customFormat="1">
      <c r="A18" s="28">
        <v>15</v>
      </c>
      <c r="B18" s="43"/>
      <c r="C18" s="44"/>
      <c r="D18" s="44"/>
      <c r="E18" s="43"/>
      <c r="F18" s="44"/>
      <c r="G18" s="34">
        <v>106.7073</v>
      </c>
      <c r="H18" s="34">
        <v>-5.9797000000000002</v>
      </c>
      <c r="I18" s="29">
        <v>5</v>
      </c>
      <c r="J18" s="29">
        <v>0</v>
      </c>
      <c r="K18" s="29">
        <v>5</v>
      </c>
      <c r="L18" s="29">
        <v>28</v>
      </c>
      <c r="M18" s="29">
        <v>5</v>
      </c>
      <c r="N18" s="29">
        <v>0</v>
      </c>
      <c r="O18" s="29">
        <v>9</v>
      </c>
      <c r="P18" s="29">
        <v>21</v>
      </c>
      <c r="Q18" s="29">
        <v>0</v>
      </c>
      <c r="R18" s="29">
        <v>21</v>
      </c>
      <c r="S18" s="29">
        <v>5</v>
      </c>
      <c r="T18" s="29">
        <v>0</v>
      </c>
      <c r="U18" s="29">
        <v>7</v>
      </c>
      <c r="V18" s="29">
        <v>10</v>
      </c>
      <c r="W18" s="29">
        <v>1</v>
      </c>
      <c r="X18" s="29">
        <v>2</v>
      </c>
      <c r="Y18" s="29">
        <v>9</v>
      </c>
      <c r="Z18" s="29">
        <v>10</v>
      </c>
      <c r="AA18" s="29">
        <v>0</v>
      </c>
      <c r="AB18" s="29">
        <v>0</v>
      </c>
      <c r="AC18" s="29">
        <v>1</v>
      </c>
      <c r="AD18" s="29">
        <v>0</v>
      </c>
      <c r="AE18" s="29">
        <v>0</v>
      </c>
      <c r="AF18" s="29">
        <v>167</v>
      </c>
      <c r="AG18" s="29">
        <v>0</v>
      </c>
      <c r="AH18" s="29">
        <v>0</v>
      </c>
      <c r="AI18" s="29">
        <v>1</v>
      </c>
      <c r="AJ18" s="29">
        <v>0</v>
      </c>
      <c r="AK18" s="29">
        <v>11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2</v>
      </c>
      <c r="AR18" s="29">
        <v>3</v>
      </c>
      <c r="AS18" s="29">
        <v>0</v>
      </c>
      <c r="AT18" s="29">
        <v>7</v>
      </c>
      <c r="AU18" s="29">
        <v>45</v>
      </c>
      <c r="AV18" s="29">
        <v>10</v>
      </c>
      <c r="AW18" s="29">
        <v>26</v>
      </c>
      <c r="AX18" s="29">
        <v>15</v>
      </c>
      <c r="AY18" s="29">
        <v>100</v>
      </c>
      <c r="AZ18" s="30">
        <f t="shared" si="0"/>
        <v>411</v>
      </c>
    </row>
    <row r="19" spans="1:52" s="31" customFormat="1">
      <c r="A19" s="28">
        <v>16</v>
      </c>
      <c r="B19" s="43"/>
      <c r="C19" s="44"/>
      <c r="D19" s="44"/>
      <c r="E19" s="43"/>
      <c r="F19" s="44"/>
      <c r="G19" s="34">
        <v>106.70910000000001</v>
      </c>
      <c r="H19" s="34">
        <v>-5.9801000000000002</v>
      </c>
      <c r="I19" s="29">
        <v>145</v>
      </c>
      <c r="J19" s="29">
        <v>0</v>
      </c>
      <c r="K19" s="29">
        <v>8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1</v>
      </c>
      <c r="R19" s="29">
        <v>0</v>
      </c>
      <c r="S19" s="29">
        <v>0</v>
      </c>
      <c r="T19" s="29">
        <v>0</v>
      </c>
      <c r="U19" s="29">
        <v>0</v>
      </c>
      <c r="V19" s="29">
        <v>1</v>
      </c>
      <c r="W19" s="29">
        <v>0</v>
      </c>
      <c r="X19" s="29">
        <v>0</v>
      </c>
      <c r="Y19" s="29">
        <v>0</v>
      </c>
      <c r="Z19" s="29">
        <v>2</v>
      </c>
      <c r="AA19" s="29">
        <v>0</v>
      </c>
      <c r="AB19" s="29">
        <v>1</v>
      </c>
      <c r="AC19" s="29">
        <v>1</v>
      </c>
      <c r="AD19" s="29">
        <v>0</v>
      </c>
      <c r="AE19" s="29">
        <v>0</v>
      </c>
      <c r="AF19" s="29">
        <v>0</v>
      </c>
      <c r="AG19" s="29">
        <v>4</v>
      </c>
      <c r="AH19" s="29">
        <v>0</v>
      </c>
      <c r="AI19" s="29">
        <v>1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10</v>
      </c>
      <c r="AR19" s="29">
        <v>0</v>
      </c>
      <c r="AS19" s="29">
        <v>0</v>
      </c>
      <c r="AT19" s="29">
        <v>0</v>
      </c>
      <c r="AU19" s="29">
        <v>186</v>
      </c>
      <c r="AV19" s="29">
        <v>0</v>
      </c>
      <c r="AW19" s="29">
        <v>0</v>
      </c>
      <c r="AX19" s="29">
        <v>9</v>
      </c>
      <c r="AY19" s="29">
        <v>100</v>
      </c>
      <c r="AZ19" s="30">
        <f t="shared" si="0"/>
        <v>360</v>
      </c>
    </row>
    <row r="20" spans="1:52" s="31" customFormat="1" ht="14.5" customHeight="1">
      <c r="A20" s="28">
        <v>17</v>
      </c>
      <c r="B20" s="43"/>
      <c r="C20" s="44" t="s">
        <v>79</v>
      </c>
      <c r="D20" s="44" t="s">
        <v>7</v>
      </c>
      <c r="E20" s="43">
        <v>2017</v>
      </c>
      <c r="F20" s="44"/>
      <c r="G20" s="34">
        <v>106.71120000000001</v>
      </c>
      <c r="H20" s="34">
        <v>-5.9791999999999996</v>
      </c>
      <c r="I20" s="29">
        <v>0</v>
      </c>
      <c r="J20" s="29">
        <v>21</v>
      </c>
      <c r="K20" s="29">
        <v>0</v>
      </c>
      <c r="L20" s="29">
        <v>0</v>
      </c>
      <c r="M20" s="29">
        <v>33</v>
      </c>
      <c r="N20" s="29">
        <v>0</v>
      </c>
      <c r="O20" s="29">
        <v>0</v>
      </c>
      <c r="P20" s="29">
        <v>0</v>
      </c>
      <c r="Q20" s="29">
        <v>4</v>
      </c>
      <c r="R20" s="29">
        <v>0</v>
      </c>
      <c r="S20" s="29">
        <v>1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29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3</v>
      </c>
      <c r="AN20" s="29">
        <v>0</v>
      </c>
      <c r="AO20" s="29">
        <v>0</v>
      </c>
      <c r="AP20" s="29">
        <v>0</v>
      </c>
      <c r="AQ20" s="29">
        <v>1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140</v>
      </c>
      <c r="AX20" s="29">
        <v>20</v>
      </c>
      <c r="AY20" s="29">
        <v>100</v>
      </c>
      <c r="AZ20" s="30">
        <f t="shared" si="0"/>
        <v>232</v>
      </c>
    </row>
    <row r="21" spans="1:52" s="31" customFormat="1">
      <c r="A21" s="28">
        <v>18</v>
      </c>
      <c r="B21" s="43"/>
      <c r="C21" s="44"/>
      <c r="D21" s="44"/>
      <c r="E21" s="43"/>
      <c r="F21" s="44"/>
      <c r="G21" s="34">
        <v>106.7094</v>
      </c>
      <c r="H21" s="34">
        <v>-5.9757999999999996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63</v>
      </c>
      <c r="R21" s="29">
        <v>0</v>
      </c>
      <c r="S21" s="29">
        <v>1</v>
      </c>
      <c r="T21" s="29">
        <v>0</v>
      </c>
      <c r="U21" s="29">
        <v>0</v>
      </c>
      <c r="V21" s="29">
        <v>0</v>
      </c>
      <c r="W21" s="29">
        <v>3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16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37</v>
      </c>
      <c r="AX21" s="29">
        <v>8.5</v>
      </c>
      <c r="AY21" s="29">
        <v>100</v>
      </c>
      <c r="AZ21" s="30">
        <f t="shared" si="0"/>
        <v>120</v>
      </c>
    </row>
    <row r="22" spans="1:52" s="31" customFormat="1">
      <c r="A22" s="28">
        <v>19</v>
      </c>
      <c r="B22" s="43"/>
      <c r="C22" s="44"/>
      <c r="D22" s="44"/>
      <c r="E22" s="43"/>
      <c r="F22" s="44"/>
      <c r="G22" s="34">
        <v>106.7073</v>
      </c>
      <c r="H22" s="34">
        <v>-5.9748000000000001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1</v>
      </c>
      <c r="R22" s="29">
        <v>0</v>
      </c>
      <c r="S22" s="29">
        <v>4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23</v>
      </c>
      <c r="Z22" s="29">
        <v>0</v>
      </c>
      <c r="AA22" s="29">
        <v>0</v>
      </c>
      <c r="AB22" s="29">
        <v>0</v>
      </c>
      <c r="AC22" s="29">
        <v>0</v>
      </c>
      <c r="AD22" s="29">
        <v>45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1</v>
      </c>
      <c r="AR22" s="29">
        <v>0</v>
      </c>
      <c r="AS22" s="29">
        <v>0</v>
      </c>
      <c r="AT22" s="29">
        <v>0</v>
      </c>
      <c r="AU22" s="29">
        <v>0</v>
      </c>
      <c r="AV22" s="29">
        <v>12</v>
      </c>
      <c r="AW22" s="29">
        <v>43</v>
      </c>
      <c r="AX22" s="29">
        <v>8.5</v>
      </c>
      <c r="AY22" s="29">
        <v>100</v>
      </c>
      <c r="AZ22" s="30">
        <f t="shared" si="0"/>
        <v>129</v>
      </c>
    </row>
    <row r="23" spans="1:52" s="31" customFormat="1">
      <c r="A23" s="28">
        <v>20</v>
      </c>
      <c r="B23" s="43"/>
      <c r="C23" s="44"/>
      <c r="D23" s="44"/>
      <c r="E23" s="43"/>
      <c r="F23" s="44"/>
      <c r="G23" s="34">
        <v>106.7051</v>
      </c>
      <c r="H23" s="34">
        <v>-5.9752000000000001</v>
      </c>
      <c r="I23" s="29">
        <v>0</v>
      </c>
      <c r="J23" s="29">
        <v>0</v>
      </c>
      <c r="K23" s="29">
        <v>0</v>
      </c>
      <c r="L23" s="29">
        <v>17</v>
      </c>
      <c r="M23" s="29">
        <v>6</v>
      </c>
      <c r="N23" s="29">
        <v>0</v>
      </c>
      <c r="O23" s="29">
        <v>0</v>
      </c>
      <c r="P23" s="29">
        <v>1</v>
      </c>
      <c r="Q23" s="29">
        <v>1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1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16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36</v>
      </c>
      <c r="AX23" s="29">
        <v>4.2</v>
      </c>
      <c r="AY23" s="29">
        <v>100</v>
      </c>
      <c r="AZ23" s="30">
        <f t="shared" si="0"/>
        <v>78</v>
      </c>
    </row>
    <row r="24" spans="1:52" s="31" customFormat="1">
      <c r="A24" s="28">
        <v>21</v>
      </c>
      <c r="B24" s="43"/>
      <c r="C24" s="44"/>
      <c r="D24" s="44"/>
      <c r="E24" s="43"/>
      <c r="F24" s="44"/>
      <c r="G24" s="34">
        <v>106.7034</v>
      </c>
      <c r="H24" s="34">
        <v>-5.9757999999999996</v>
      </c>
      <c r="I24" s="29">
        <v>2</v>
      </c>
      <c r="J24" s="29">
        <v>5</v>
      </c>
      <c r="K24" s="29">
        <v>0</v>
      </c>
      <c r="L24" s="29">
        <v>0</v>
      </c>
      <c r="M24" s="29">
        <v>3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2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4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146</v>
      </c>
      <c r="AX24" s="29">
        <v>10</v>
      </c>
      <c r="AY24" s="29">
        <v>100</v>
      </c>
      <c r="AZ24" s="30">
        <f t="shared" si="0"/>
        <v>162</v>
      </c>
    </row>
    <row r="25" spans="1:52" s="31" customFormat="1">
      <c r="A25" s="28">
        <v>22</v>
      </c>
      <c r="B25" s="43"/>
      <c r="C25" s="44"/>
      <c r="D25" s="44"/>
      <c r="E25" s="43"/>
      <c r="F25" s="44"/>
      <c r="G25" s="34">
        <v>106.7025</v>
      </c>
      <c r="H25" s="34">
        <v>-5.9768999999999997</v>
      </c>
      <c r="I25" s="29">
        <v>8</v>
      </c>
      <c r="J25" s="29">
        <v>50</v>
      </c>
      <c r="K25" s="29">
        <v>1</v>
      </c>
      <c r="L25" s="29">
        <v>0</v>
      </c>
      <c r="M25" s="29">
        <v>3</v>
      </c>
      <c r="N25" s="29">
        <v>0</v>
      </c>
      <c r="O25" s="29">
        <v>0</v>
      </c>
      <c r="P25" s="29">
        <v>30</v>
      </c>
      <c r="Q25" s="29">
        <v>10</v>
      </c>
      <c r="R25" s="29">
        <v>7</v>
      </c>
      <c r="S25" s="29">
        <v>2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21</v>
      </c>
      <c r="Z25" s="29">
        <v>0</v>
      </c>
      <c r="AA25" s="29">
        <v>0</v>
      </c>
      <c r="AB25" s="29">
        <v>0</v>
      </c>
      <c r="AC25" s="29">
        <v>1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6</v>
      </c>
      <c r="AN25" s="29">
        <v>5</v>
      </c>
      <c r="AO25" s="29">
        <v>0</v>
      </c>
      <c r="AP25" s="29">
        <v>0</v>
      </c>
      <c r="AQ25" s="29">
        <v>2</v>
      </c>
      <c r="AR25" s="29">
        <v>7</v>
      </c>
      <c r="AS25" s="29">
        <v>0</v>
      </c>
      <c r="AT25" s="29">
        <v>0</v>
      </c>
      <c r="AU25" s="29">
        <v>0</v>
      </c>
      <c r="AV25" s="29">
        <v>1</v>
      </c>
      <c r="AW25" s="29">
        <v>35</v>
      </c>
      <c r="AX25" s="29">
        <v>3.1</v>
      </c>
      <c r="AY25" s="29">
        <v>100</v>
      </c>
      <c r="AZ25" s="30">
        <f t="shared" si="0"/>
        <v>189</v>
      </c>
    </row>
    <row r="26" spans="1:52" s="31" customFormat="1">
      <c r="A26" s="28">
        <v>23</v>
      </c>
      <c r="B26" s="43"/>
      <c r="C26" s="44"/>
      <c r="D26" s="44"/>
      <c r="E26" s="43"/>
      <c r="F26" s="44"/>
      <c r="G26" s="34">
        <v>106.7041</v>
      </c>
      <c r="H26" s="34">
        <v>-5.9781000000000004</v>
      </c>
      <c r="I26" s="29">
        <v>0</v>
      </c>
      <c r="J26" s="29">
        <v>45</v>
      </c>
      <c r="K26" s="29">
        <v>0</v>
      </c>
      <c r="L26" s="29">
        <v>12</v>
      </c>
      <c r="M26" s="29">
        <v>1</v>
      </c>
      <c r="N26" s="29">
        <v>0</v>
      </c>
      <c r="O26" s="29">
        <v>0</v>
      </c>
      <c r="P26" s="29">
        <v>5</v>
      </c>
      <c r="Q26" s="29">
        <v>0</v>
      </c>
      <c r="R26" s="29">
        <v>1</v>
      </c>
      <c r="S26" s="29">
        <v>0</v>
      </c>
      <c r="T26" s="29">
        <v>0</v>
      </c>
      <c r="U26" s="29">
        <v>32</v>
      </c>
      <c r="V26" s="29">
        <v>0</v>
      </c>
      <c r="W26" s="29">
        <v>0</v>
      </c>
      <c r="X26" s="29">
        <v>0</v>
      </c>
      <c r="Y26" s="29">
        <v>15</v>
      </c>
      <c r="Z26" s="29">
        <v>0</v>
      </c>
      <c r="AA26" s="29">
        <v>0</v>
      </c>
      <c r="AB26" s="29">
        <v>0</v>
      </c>
      <c r="AC26" s="29">
        <v>2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7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8</v>
      </c>
      <c r="AY26" s="29">
        <v>100</v>
      </c>
      <c r="AZ26" s="30">
        <f t="shared" si="0"/>
        <v>120</v>
      </c>
    </row>
    <row r="27" spans="1:52" s="31" customFormat="1">
      <c r="A27" s="28">
        <v>24</v>
      </c>
      <c r="B27" s="43"/>
      <c r="C27" s="44"/>
      <c r="D27" s="44"/>
      <c r="E27" s="43"/>
      <c r="F27" s="44"/>
      <c r="G27" s="34">
        <v>106.7073</v>
      </c>
      <c r="H27" s="34">
        <v>-5.9797000000000002</v>
      </c>
      <c r="I27" s="29">
        <v>2</v>
      </c>
      <c r="J27" s="29">
        <v>15</v>
      </c>
      <c r="K27" s="29">
        <v>0</v>
      </c>
      <c r="L27" s="29">
        <v>0</v>
      </c>
      <c r="M27" s="29">
        <v>18</v>
      </c>
      <c r="N27" s="29">
        <v>1</v>
      </c>
      <c r="O27" s="29">
        <v>0</v>
      </c>
      <c r="P27" s="29">
        <v>55</v>
      </c>
      <c r="Q27" s="29">
        <v>19</v>
      </c>
      <c r="R27" s="29">
        <v>2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1</v>
      </c>
      <c r="Z27" s="29">
        <v>0</v>
      </c>
      <c r="AA27" s="29">
        <v>0</v>
      </c>
      <c r="AB27" s="29">
        <v>0</v>
      </c>
      <c r="AC27" s="29">
        <v>7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11</v>
      </c>
      <c r="AN27" s="29">
        <v>12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14</v>
      </c>
      <c r="AW27" s="29">
        <v>181</v>
      </c>
      <c r="AX27" s="29">
        <v>14.5</v>
      </c>
      <c r="AY27" s="29">
        <v>100</v>
      </c>
      <c r="AZ27" s="30">
        <f t="shared" si="0"/>
        <v>338</v>
      </c>
    </row>
    <row r="28" spans="1:52" s="31" customFormat="1">
      <c r="A28" s="28">
        <v>25</v>
      </c>
      <c r="B28" s="43"/>
      <c r="C28" s="44"/>
      <c r="D28" s="44"/>
      <c r="E28" s="43"/>
      <c r="F28" s="44"/>
      <c r="G28" s="34">
        <v>106.70910000000001</v>
      </c>
      <c r="H28" s="34">
        <v>-5.9801000000000002</v>
      </c>
      <c r="I28" s="29">
        <v>23</v>
      </c>
      <c r="J28" s="29">
        <v>24</v>
      </c>
      <c r="K28" s="29">
        <v>2</v>
      </c>
      <c r="L28" s="29">
        <v>0</v>
      </c>
      <c r="M28" s="29">
        <v>16</v>
      </c>
      <c r="N28" s="29">
        <v>0</v>
      </c>
      <c r="O28" s="29">
        <v>0</v>
      </c>
      <c r="P28" s="29">
        <v>13</v>
      </c>
      <c r="Q28" s="29">
        <v>6</v>
      </c>
      <c r="R28" s="29">
        <v>1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3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5</v>
      </c>
      <c r="AN28" s="29">
        <v>10</v>
      </c>
      <c r="AO28" s="29">
        <v>0</v>
      </c>
      <c r="AP28" s="29">
        <v>0</v>
      </c>
      <c r="AQ28" s="29">
        <v>2</v>
      </c>
      <c r="AR28" s="29">
        <v>0</v>
      </c>
      <c r="AS28" s="29">
        <v>0</v>
      </c>
      <c r="AT28" s="29">
        <v>0</v>
      </c>
      <c r="AU28" s="29">
        <v>0</v>
      </c>
      <c r="AV28" s="29">
        <v>2</v>
      </c>
      <c r="AW28" s="29">
        <v>31</v>
      </c>
      <c r="AX28" s="29">
        <v>2</v>
      </c>
      <c r="AY28" s="29">
        <v>100</v>
      </c>
      <c r="AZ28" s="30">
        <f t="shared" si="0"/>
        <v>138</v>
      </c>
    </row>
    <row r="29" spans="1:52" s="31" customFormat="1" ht="14.5" customHeight="1">
      <c r="A29" s="28">
        <v>26</v>
      </c>
      <c r="B29" s="43"/>
      <c r="C29" s="44" t="s">
        <v>4</v>
      </c>
      <c r="D29" s="44" t="s">
        <v>3</v>
      </c>
      <c r="E29" s="43">
        <v>2017</v>
      </c>
      <c r="F29" s="44"/>
      <c r="G29" s="34">
        <v>106.70310000000001</v>
      </c>
      <c r="H29" s="34">
        <v>-5.9771999999999998</v>
      </c>
      <c r="I29" s="29">
        <v>0</v>
      </c>
      <c r="J29" s="29">
        <v>5</v>
      </c>
      <c r="K29" s="29">
        <v>32</v>
      </c>
      <c r="L29" s="29">
        <v>17</v>
      </c>
      <c r="M29" s="29">
        <v>5</v>
      </c>
      <c r="N29" s="29">
        <v>1</v>
      </c>
      <c r="O29" s="29">
        <v>0</v>
      </c>
      <c r="P29" s="29">
        <v>3</v>
      </c>
      <c r="Q29" s="29">
        <v>0</v>
      </c>
      <c r="R29" s="29">
        <v>10</v>
      </c>
      <c r="S29" s="29">
        <v>12</v>
      </c>
      <c r="T29" s="29">
        <v>0</v>
      </c>
      <c r="U29" s="29">
        <v>4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4</v>
      </c>
      <c r="AC29" s="29">
        <v>0</v>
      </c>
      <c r="AD29" s="29">
        <v>1</v>
      </c>
      <c r="AE29" s="29">
        <v>0</v>
      </c>
      <c r="AF29" s="29">
        <v>24</v>
      </c>
      <c r="AG29" s="29">
        <v>1</v>
      </c>
      <c r="AH29" s="29">
        <v>0</v>
      </c>
      <c r="AI29" s="29">
        <v>0</v>
      </c>
      <c r="AJ29" s="29">
        <v>0</v>
      </c>
      <c r="AK29" s="29">
        <v>1</v>
      </c>
      <c r="AL29" s="29">
        <v>0</v>
      </c>
      <c r="AM29" s="29">
        <v>0</v>
      </c>
      <c r="AN29" s="29">
        <v>3</v>
      </c>
      <c r="AO29" s="29">
        <v>0</v>
      </c>
      <c r="AP29" s="29">
        <v>0</v>
      </c>
      <c r="AQ29" s="29">
        <v>5</v>
      </c>
      <c r="AR29" s="29">
        <v>4</v>
      </c>
      <c r="AS29" s="29">
        <v>0</v>
      </c>
      <c r="AT29" s="29">
        <v>1</v>
      </c>
      <c r="AU29" s="29">
        <v>0</v>
      </c>
      <c r="AV29" s="29">
        <v>0</v>
      </c>
      <c r="AW29" s="29">
        <v>125</v>
      </c>
      <c r="AX29" s="29">
        <v>0</v>
      </c>
      <c r="AY29" s="29">
        <v>100</v>
      </c>
      <c r="AZ29" s="30">
        <f t="shared" si="0"/>
        <v>258</v>
      </c>
    </row>
    <row r="30" spans="1:52" s="31" customFormat="1">
      <c r="A30" s="28">
        <v>27</v>
      </c>
      <c r="B30" s="43"/>
      <c r="C30" s="44"/>
      <c r="D30" s="44"/>
      <c r="E30" s="43"/>
      <c r="F30" s="44"/>
      <c r="G30" s="34">
        <v>106.7039</v>
      </c>
      <c r="H30" s="34">
        <v>-5.9779</v>
      </c>
      <c r="I30" s="29">
        <v>2</v>
      </c>
      <c r="J30" s="29">
        <v>0</v>
      </c>
      <c r="K30" s="29">
        <v>0</v>
      </c>
      <c r="L30" s="29">
        <v>92</v>
      </c>
      <c r="M30" s="29">
        <v>0</v>
      </c>
      <c r="N30" s="29">
        <v>0</v>
      </c>
      <c r="O30" s="29">
        <v>1</v>
      </c>
      <c r="P30" s="29">
        <v>28</v>
      </c>
      <c r="Q30" s="29">
        <v>5</v>
      </c>
      <c r="R30" s="29">
        <v>0</v>
      </c>
      <c r="S30" s="29">
        <v>0</v>
      </c>
      <c r="T30" s="29">
        <v>0</v>
      </c>
      <c r="U30" s="29">
        <v>0</v>
      </c>
      <c r="V30" s="29">
        <v>1</v>
      </c>
      <c r="W30" s="29">
        <v>0</v>
      </c>
      <c r="X30" s="29">
        <v>0</v>
      </c>
      <c r="Y30" s="29">
        <v>4</v>
      </c>
      <c r="Z30" s="29">
        <v>3</v>
      </c>
      <c r="AA30" s="29">
        <v>0</v>
      </c>
      <c r="AB30" s="29">
        <v>0</v>
      </c>
      <c r="AC30" s="29">
        <v>0</v>
      </c>
      <c r="AD30" s="29">
        <v>1</v>
      </c>
      <c r="AE30" s="29">
        <v>0</v>
      </c>
      <c r="AF30" s="29">
        <v>115</v>
      </c>
      <c r="AG30" s="29">
        <v>0</v>
      </c>
      <c r="AH30" s="29">
        <v>1</v>
      </c>
      <c r="AI30" s="29">
        <v>0</v>
      </c>
      <c r="AJ30" s="29">
        <v>0</v>
      </c>
      <c r="AK30" s="29">
        <v>0</v>
      </c>
      <c r="AL30" s="29">
        <v>0</v>
      </c>
      <c r="AM30" s="29">
        <v>1</v>
      </c>
      <c r="AN30" s="29">
        <v>7</v>
      </c>
      <c r="AO30" s="29">
        <v>4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5</v>
      </c>
      <c r="AX30" s="29">
        <v>27</v>
      </c>
      <c r="AY30" s="29">
        <v>100</v>
      </c>
      <c r="AZ30" s="30">
        <f t="shared" si="0"/>
        <v>270</v>
      </c>
    </row>
    <row r="31" spans="1:52" s="31" customFormat="1">
      <c r="A31" s="28">
        <v>28</v>
      </c>
      <c r="B31" s="43"/>
      <c r="C31" s="44"/>
      <c r="D31" s="44"/>
      <c r="E31" s="43"/>
      <c r="F31" s="44"/>
      <c r="G31" s="34">
        <v>106.7042</v>
      </c>
      <c r="H31" s="34">
        <v>-5.9782000000000002</v>
      </c>
      <c r="I31" s="29">
        <v>15</v>
      </c>
      <c r="J31" s="29">
        <v>76</v>
      </c>
      <c r="K31" s="29">
        <v>223</v>
      </c>
      <c r="L31" s="29">
        <v>28</v>
      </c>
      <c r="M31" s="29">
        <v>8</v>
      </c>
      <c r="N31" s="29">
        <v>4</v>
      </c>
      <c r="O31" s="29">
        <v>1</v>
      </c>
      <c r="P31" s="29">
        <v>2</v>
      </c>
      <c r="Q31" s="29">
        <v>9</v>
      </c>
      <c r="R31" s="29">
        <v>3</v>
      </c>
      <c r="S31" s="29">
        <v>1</v>
      </c>
      <c r="T31" s="29">
        <v>1</v>
      </c>
      <c r="U31" s="29">
        <v>7</v>
      </c>
      <c r="V31" s="29">
        <v>40</v>
      </c>
      <c r="W31" s="29">
        <v>5</v>
      </c>
      <c r="X31" s="29">
        <v>0</v>
      </c>
      <c r="Y31" s="29">
        <v>20</v>
      </c>
      <c r="Z31" s="29">
        <v>176</v>
      </c>
      <c r="AA31" s="29">
        <v>0</v>
      </c>
      <c r="AB31" s="29">
        <v>0</v>
      </c>
      <c r="AC31" s="29">
        <v>0</v>
      </c>
      <c r="AD31" s="29">
        <v>15</v>
      </c>
      <c r="AE31" s="29">
        <v>0</v>
      </c>
      <c r="AF31" s="29">
        <v>57</v>
      </c>
      <c r="AG31" s="29">
        <v>8</v>
      </c>
      <c r="AH31" s="29">
        <v>0</v>
      </c>
      <c r="AI31" s="29">
        <v>0</v>
      </c>
      <c r="AJ31" s="29">
        <v>0</v>
      </c>
      <c r="AK31" s="29">
        <v>1</v>
      </c>
      <c r="AL31" s="29">
        <v>0</v>
      </c>
      <c r="AM31" s="29">
        <v>1</v>
      </c>
      <c r="AN31" s="29">
        <v>0</v>
      </c>
      <c r="AO31" s="29">
        <v>0</v>
      </c>
      <c r="AP31" s="29">
        <v>3</v>
      </c>
      <c r="AQ31" s="29">
        <v>0</v>
      </c>
      <c r="AR31" s="29">
        <v>2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20</v>
      </c>
      <c r="AY31" s="29">
        <v>100</v>
      </c>
      <c r="AZ31" s="30">
        <f t="shared" si="0"/>
        <v>706</v>
      </c>
    </row>
    <row r="32" spans="1:52" s="31" customFormat="1">
      <c r="A32" s="28">
        <v>29</v>
      </c>
      <c r="B32" s="43">
        <v>4</v>
      </c>
      <c r="C32" s="44" t="s">
        <v>8</v>
      </c>
      <c r="D32" s="44" t="s">
        <v>1</v>
      </c>
      <c r="E32" s="43">
        <v>2017</v>
      </c>
      <c r="F32" s="44" t="s">
        <v>83</v>
      </c>
      <c r="G32" s="34">
        <v>106.7452</v>
      </c>
      <c r="H32" s="34">
        <v>-6.0254000000000003</v>
      </c>
      <c r="I32" s="29">
        <v>0</v>
      </c>
      <c r="J32" s="29">
        <v>123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108</v>
      </c>
      <c r="Q32" s="29">
        <v>1</v>
      </c>
      <c r="R32" s="29">
        <v>11</v>
      </c>
      <c r="S32" s="29">
        <v>2</v>
      </c>
      <c r="T32" s="29">
        <v>3</v>
      </c>
      <c r="U32" s="29">
        <v>8</v>
      </c>
      <c r="V32" s="29">
        <v>9</v>
      </c>
      <c r="W32" s="29">
        <v>0</v>
      </c>
      <c r="X32" s="29">
        <v>0</v>
      </c>
      <c r="Y32" s="29">
        <v>1</v>
      </c>
      <c r="Z32" s="29">
        <v>0</v>
      </c>
      <c r="AA32" s="29">
        <v>1</v>
      </c>
      <c r="AB32" s="29">
        <v>1</v>
      </c>
      <c r="AC32" s="29">
        <v>0</v>
      </c>
      <c r="AD32" s="29">
        <v>0</v>
      </c>
      <c r="AE32" s="29">
        <v>0</v>
      </c>
      <c r="AF32" s="29">
        <v>0</v>
      </c>
      <c r="AG32" s="29">
        <v>1</v>
      </c>
      <c r="AH32" s="29">
        <v>11</v>
      </c>
      <c r="AI32" s="29">
        <v>10</v>
      </c>
      <c r="AJ32" s="29">
        <v>0</v>
      </c>
      <c r="AK32" s="29">
        <v>1</v>
      </c>
      <c r="AL32" s="29">
        <v>0</v>
      </c>
      <c r="AM32" s="29">
        <v>0</v>
      </c>
      <c r="AN32" s="29">
        <v>15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73</v>
      </c>
      <c r="AV32" s="29">
        <v>1</v>
      </c>
      <c r="AW32" s="29">
        <v>65</v>
      </c>
      <c r="AX32" s="29">
        <v>21.9</v>
      </c>
      <c r="AY32" s="29">
        <v>100</v>
      </c>
      <c r="AZ32" s="30">
        <f t="shared" si="0"/>
        <v>445</v>
      </c>
    </row>
    <row r="33" spans="1:52" s="31" customFormat="1" ht="15" customHeight="1">
      <c r="A33" s="28">
        <v>30</v>
      </c>
      <c r="B33" s="43"/>
      <c r="C33" s="44"/>
      <c r="D33" s="44"/>
      <c r="E33" s="43"/>
      <c r="F33" s="44"/>
      <c r="G33" s="34">
        <v>106.7441</v>
      </c>
      <c r="H33" s="34">
        <v>-6.0260999999999996</v>
      </c>
      <c r="I33" s="29">
        <v>31</v>
      </c>
      <c r="J33" s="29">
        <v>54</v>
      </c>
      <c r="K33" s="29">
        <v>0</v>
      </c>
      <c r="L33" s="29">
        <v>15</v>
      </c>
      <c r="M33" s="29">
        <v>14</v>
      </c>
      <c r="N33" s="29">
        <v>0</v>
      </c>
      <c r="O33" s="29">
        <v>23</v>
      </c>
      <c r="P33" s="29">
        <v>65</v>
      </c>
      <c r="Q33" s="29">
        <v>5</v>
      </c>
      <c r="R33" s="29">
        <v>11</v>
      </c>
      <c r="S33" s="29">
        <v>4</v>
      </c>
      <c r="T33" s="29">
        <v>47</v>
      </c>
      <c r="U33" s="29">
        <v>94</v>
      </c>
      <c r="V33" s="29">
        <v>4</v>
      </c>
      <c r="W33" s="29">
        <v>0</v>
      </c>
      <c r="X33" s="29">
        <v>0</v>
      </c>
      <c r="Y33" s="29">
        <v>21</v>
      </c>
      <c r="Z33" s="29">
        <v>4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1</v>
      </c>
      <c r="AL33" s="29">
        <v>0</v>
      </c>
      <c r="AM33" s="29">
        <v>0</v>
      </c>
      <c r="AN33" s="29">
        <v>3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19</v>
      </c>
      <c r="AU33" s="29">
        <v>0</v>
      </c>
      <c r="AV33" s="29">
        <v>0</v>
      </c>
      <c r="AW33" s="29">
        <v>0</v>
      </c>
      <c r="AX33" s="29">
        <v>3.6</v>
      </c>
      <c r="AY33" s="29">
        <v>100</v>
      </c>
      <c r="AZ33" s="30">
        <f t="shared" si="0"/>
        <v>415</v>
      </c>
    </row>
    <row r="34" spans="1:52" s="31" customFormat="1">
      <c r="A34" s="28">
        <v>31</v>
      </c>
      <c r="B34" s="43">
        <v>5</v>
      </c>
      <c r="C34" s="44" t="s">
        <v>50</v>
      </c>
      <c r="D34" s="44" t="s">
        <v>3</v>
      </c>
      <c r="E34" s="43">
        <v>2015</v>
      </c>
      <c r="F34" s="44" t="s">
        <v>84</v>
      </c>
      <c r="G34" s="34">
        <v>105.4194</v>
      </c>
      <c r="H34" s="34">
        <v>-6.7530999999999999</v>
      </c>
      <c r="I34" s="29">
        <v>1</v>
      </c>
      <c r="J34" s="29">
        <v>58</v>
      </c>
      <c r="K34" s="29">
        <v>47</v>
      </c>
      <c r="L34" s="29">
        <v>0</v>
      </c>
      <c r="M34" s="29">
        <v>30</v>
      </c>
      <c r="N34" s="29">
        <v>0</v>
      </c>
      <c r="O34" s="29">
        <v>0</v>
      </c>
      <c r="P34" s="29">
        <v>18</v>
      </c>
      <c r="Q34" s="29">
        <v>0</v>
      </c>
      <c r="R34" s="29">
        <v>21</v>
      </c>
      <c r="S34" s="29">
        <v>5</v>
      </c>
      <c r="T34" s="29">
        <v>0</v>
      </c>
      <c r="U34" s="29">
        <v>0</v>
      </c>
      <c r="V34" s="29">
        <v>3</v>
      </c>
      <c r="W34" s="29">
        <v>0</v>
      </c>
      <c r="X34" s="29">
        <v>0</v>
      </c>
      <c r="Y34" s="29">
        <v>0</v>
      </c>
      <c r="Z34" s="29">
        <v>3</v>
      </c>
      <c r="AA34" s="29">
        <v>0</v>
      </c>
      <c r="AB34" s="29">
        <v>1</v>
      </c>
      <c r="AC34" s="29">
        <v>8</v>
      </c>
      <c r="AD34" s="29">
        <v>2</v>
      </c>
      <c r="AE34" s="29">
        <v>11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1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10</v>
      </c>
      <c r="AV34" s="29">
        <v>0</v>
      </c>
      <c r="AW34" s="29">
        <v>12</v>
      </c>
      <c r="AX34" s="29">
        <v>0</v>
      </c>
      <c r="AY34" s="29">
        <v>50</v>
      </c>
      <c r="AZ34" s="30">
        <f t="shared" si="0"/>
        <v>231</v>
      </c>
    </row>
    <row r="35" spans="1:52">
      <c r="A35" s="28">
        <v>32</v>
      </c>
      <c r="B35" s="43"/>
      <c r="C35" s="44"/>
      <c r="D35" s="44"/>
      <c r="E35" s="43"/>
      <c r="F35" s="44"/>
      <c r="G35" s="34">
        <v>105.4196</v>
      </c>
      <c r="H35" s="34">
        <v>-6.7530999999999999</v>
      </c>
      <c r="I35" s="29">
        <v>0</v>
      </c>
      <c r="J35" s="29">
        <v>18</v>
      </c>
      <c r="K35" s="29">
        <v>19</v>
      </c>
      <c r="L35" s="29">
        <v>0</v>
      </c>
      <c r="M35" s="29">
        <v>7</v>
      </c>
      <c r="N35" s="29">
        <v>0</v>
      </c>
      <c r="O35" s="29">
        <v>5</v>
      </c>
      <c r="P35" s="29">
        <v>32</v>
      </c>
      <c r="Q35" s="29">
        <v>2</v>
      </c>
      <c r="R35" s="29">
        <v>37</v>
      </c>
      <c r="S35" s="29">
        <v>1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3</v>
      </c>
      <c r="AC35" s="29">
        <v>1</v>
      </c>
      <c r="AD35" s="29">
        <v>1</v>
      </c>
      <c r="AE35" s="29">
        <v>0</v>
      </c>
      <c r="AF35" s="29">
        <v>15</v>
      </c>
      <c r="AG35" s="29">
        <v>7</v>
      </c>
      <c r="AH35" s="29">
        <v>0</v>
      </c>
      <c r="AI35" s="29">
        <v>0</v>
      </c>
      <c r="AJ35" s="29">
        <v>0</v>
      </c>
      <c r="AK35" s="29">
        <v>2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4</v>
      </c>
      <c r="AR35" s="29">
        <v>1</v>
      </c>
      <c r="AS35" s="29">
        <v>0</v>
      </c>
      <c r="AT35" s="29">
        <v>0</v>
      </c>
      <c r="AU35" s="29">
        <v>5</v>
      </c>
      <c r="AV35" s="29">
        <v>1</v>
      </c>
      <c r="AW35" s="29">
        <v>41</v>
      </c>
      <c r="AX35" s="29">
        <v>0</v>
      </c>
      <c r="AY35" s="29">
        <v>50</v>
      </c>
      <c r="AZ35" s="30">
        <f t="shared" si="0"/>
        <v>202</v>
      </c>
    </row>
    <row r="36" spans="1:52" s="31" customFormat="1">
      <c r="A36" s="28">
        <v>33</v>
      </c>
      <c r="B36" s="43">
        <v>6</v>
      </c>
      <c r="C36" s="44" t="s">
        <v>79</v>
      </c>
      <c r="D36" s="44" t="s">
        <v>18</v>
      </c>
      <c r="E36" s="43">
        <v>2014</v>
      </c>
      <c r="F36" s="44" t="s">
        <v>85</v>
      </c>
      <c r="G36" s="34">
        <v>106.1527</v>
      </c>
      <c r="H36" s="34">
        <v>-5.9436999999999998</v>
      </c>
      <c r="I36" s="29">
        <v>3</v>
      </c>
      <c r="J36" s="29">
        <v>74</v>
      </c>
      <c r="K36" s="29">
        <v>2</v>
      </c>
      <c r="L36" s="29">
        <v>1</v>
      </c>
      <c r="M36" s="29">
        <v>54</v>
      </c>
      <c r="N36" s="29">
        <v>2</v>
      </c>
      <c r="O36" s="29">
        <v>0</v>
      </c>
      <c r="P36" s="29">
        <v>47</v>
      </c>
      <c r="Q36" s="29">
        <v>6</v>
      </c>
      <c r="R36" s="29">
        <v>48</v>
      </c>
      <c r="S36" s="29">
        <v>11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2</v>
      </c>
      <c r="Z36" s="29">
        <v>0</v>
      </c>
      <c r="AA36" s="29">
        <v>0</v>
      </c>
      <c r="AB36" s="29">
        <v>1</v>
      </c>
      <c r="AC36" s="29">
        <v>0</v>
      </c>
      <c r="AD36" s="29">
        <v>5</v>
      </c>
      <c r="AE36" s="29">
        <v>0</v>
      </c>
      <c r="AF36" s="29">
        <v>19</v>
      </c>
      <c r="AG36" s="29">
        <v>4</v>
      </c>
      <c r="AH36" s="29">
        <v>7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3</v>
      </c>
      <c r="AR36" s="29">
        <v>2</v>
      </c>
      <c r="AS36" s="29">
        <v>0</v>
      </c>
      <c r="AT36" s="29">
        <v>0</v>
      </c>
      <c r="AU36" s="29">
        <v>30</v>
      </c>
      <c r="AV36" s="29">
        <v>0</v>
      </c>
      <c r="AW36" s="29">
        <v>0</v>
      </c>
      <c r="AX36" s="29">
        <v>7</v>
      </c>
      <c r="AY36" s="29">
        <v>100</v>
      </c>
      <c r="AZ36" s="30">
        <v>321</v>
      </c>
    </row>
    <row r="37" spans="1:52" s="31" customFormat="1">
      <c r="A37" s="28">
        <v>34</v>
      </c>
      <c r="B37" s="43"/>
      <c r="C37" s="44"/>
      <c r="D37" s="44"/>
      <c r="E37" s="43"/>
      <c r="F37" s="44"/>
      <c r="G37" s="34">
        <v>106.15130000000001</v>
      </c>
      <c r="H37" s="34">
        <v>-5.9408000000000003</v>
      </c>
      <c r="I37" s="29">
        <v>0</v>
      </c>
      <c r="J37" s="29">
        <v>58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21</v>
      </c>
      <c r="S37" s="29">
        <v>4</v>
      </c>
      <c r="T37" s="29">
        <v>11</v>
      </c>
      <c r="U37" s="29">
        <v>0</v>
      </c>
      <c r="V37" s="29">
        <v>30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2</v>
      </c>
      <c r="AH37" s="29">
        <v>2</v>
      </c>
      <c r="AI37" s="29">
        <v>1</v>
      </c>
      <c r="AJ37" s="29">
        <v>0</v>
      </c>
      <c r="AK37" s="29">
        <v>1</v>
      </c>
      <c r="AL37" s="29">
        <v>0</v>
      </c>
      <c r="AM37" s="29">
        <v>0</v>
      </c>
      <c r="AN37" s="29">
        <v>19</v>
      </c>
      <c r="AO37" s="29">
        <v>1</v>
      </c>
      <c r="AP37" s="29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33</v>
      </c>
      <c r="AV37" s="29">
        <v>0</v>
      </c>
      <c r="AW37" s="29">
        <v>0</v>
      </c>
      <c r="AX37" s="29">
        <v>7</v>
      </c>
      <c r="AY37" s="29">
        <v>100</v>
      </c>
      <c r="AZ37" s="30">
        <v>183</v>
      </c>
    </row>
    <row r="38" spans="1:52" s="31" customFormat="1">
      <c r="A38" s="28">
        <v>35</v>
      </c>
      <c r="B38" s="43"/>
      <c r="C38" s="44"/>
      <c r="D38" s="44"/>
      <c r="E38" s="43"/>
      <c r="F38" s="44"/>
      <c r="G38" s="34">
        <v>106.15130000000001</v>
      </c>
      <c r="H38" s="34">
        <v>-5.9408000000000003</v>
      </c>
      <c r="I38" s="29">
        <v>3</v>
      </c>
      <c r="J38" s="29">
        <v>7</v>
      </c>
      <c r="K38" s="29">
        <v>28</v>
      </c>
      <c r="L38" s="29">
        <v>14</v>
      </c>
      <c r="M38" s="29">
        <v>16</v>
      </c>
      <c r="N38" s="29">
        <v>4</v>
      </c>
      <c r="O38" s="29">
        <v>2</v>
      </c>
      <c r="P38" s="29">
        <v>45</v>
      </c>
      <c r="Q38" s="29">
        <v>7</v>
      </c>
      <c r="R38" s="29">
        <v>30</v>
      </c>
      <c r="S38" s="29">
        <v>11</v>
      </c>
      <c r="T38" s="29">
        <v>0</v>
      </c>
      <c r="U38" s="29">
        <v>0</v>
      </c>
      <c r="V38" s="29">
        <v>16</v>
      </c>
      <c r="W38" s="29">
        <v>0</v>
      </c>
      <c r="X38" s="29">
        <v>0</v>
      </c>
      <c r="Y38" s="29">
        <v>5</v>
      </c>
      <c r="Z38" s="29">
        <v>1</v>
      </c>
      <c r="AA38" s="29">
        <v>0</v>
      </c>
      <c r="AB38" s="29">
        <v>3</v>
      </c>
      <c r="AC38" s="29">
        <v>3</v>
      </c>
      <c r="AD38" s="29">
        <v>1</v>
      </c>
      <c r="AE38" s="29">
        <v>0</v>
      </c>
      <c r="AF38" s="29">
        <v>0</v>
      </c>
      <c r="AG38" s="29">
        <v>0</v>
      </c>
      <c r="AH38" s="29">
        <v>0</v>
      </c>
      <c r="AI38" s="29">
        <v>1</v>
      </c>
      <c r="AJ38" s="29">
        <v>0</v>
      </c>
      <c r="AK38" s="29">
        <v>2</v>
      </c>
      <c r="AL38" s="29">
        <v>0</v>
      </c>
      <c r="AM38" s="29">
        <v>1</v>
      </c>
      <c r="AN38" s="29">
        <v>15</v>
      </c>
      <c r="AO38" s="29">
        <v>0</v>
      </c>
      <c r="AP38" s="29">
        <v>1</v>
      </c>
      <c r="AQ38" s="29">
        <v>3</v>
      </c>
      <c r="AR38" s="29">
        <v>1</v>
      </c>
      <c r="AS38" s="29">
        <v>0</v>
      </c>
      <c r="AT38" s="29">
        <v>2</v>
      </c>
      <c r="AU38" s="29">
        <v>30</v>
      </c>
      <c r="AV38" s="29">
        <v>5</v>
      </c>
      <c r="AW38" s="29">
        <v>35</v>
      </c>
      <c r="AX38" s="29">
        <v>10.8</v>
      </c>
      <c r="AY38" s="29">
        <v>100</v>
      </c>
      <c r="AZ38" s="30">
        <v>292</v>
      </c>
    </row>
    <row r="39" spans="1:52" s="31" customFormat="1">
      <c r="A39" s="28">
        <v>36</v>
      </c>
      <c r="B39" s="43"/>
      <c r="C39" s="44"/>
      <c r="D39" s="44"/>
      <c r="E39" s="43"/>
      <c r="F39" s="44"/>
      <c r="G39" s="34">
        <v>106.15130000000001</v>
      </c>
      <c r="H39" s="34">
        <v>-5.9408000000000003</v>
      </c>
      <c r="I39" s="29">
        <v>4</v>
      </c>
      <c r="J39" s="29">
        <v>3</v>
      </c>
      <c r="K39" s="29">
        <v>8</v>
      </c>
      <c r="L39" s="29">
        <v>4</v>
      </c>
      <c r="M39" s="29">
        <v>14</v>
      </c>
      <c r="N39" s="29">
        <v>4</v>
      </c>
      <c r="O39" s="29">
        <v>8</v>
      </c>
      <c r="P39" s="29">
        <v>5</v>
      </c>
      <c r="Q39" s="29">
        <v>7</v>
      </c>
      <c r="R39" s="29">
        <v>6</v>
      </c>
      <c r="S39" s="29">
        <v>3</v>
      </c>
      <c r="T39" s="29">
        <v>2</v>
      </c>
      <c r="U39" s="29">
        <v>3</v>
      </c>
      <c r="V39" s="29">
        <v>17</v>
      </c>
      <c r="W39" s="29">
        <v>1</v>
      </c>
      <c r="X39" s="29">
        <v>4</v>
      </c>
      <c r="Y39" s="29">
        <v>1</v>
      </c>
      <c r="Z39" s="29">
        <v>5</v>
      </c>
      <c r="AA39" s="2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1</v>
      </c>
      <c r="AG39" s="29">
        <v>0</v>
      </c>
      <c r="AH39" s="29">
        <v>0</v>
      </c>
      <c r="AI39" s="29">
        <v>8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2</v>
      </c>
      <c r="AP39" s="29">
        <v>1</v>
      </c>
      <c r="AQ39" s="29">
        <v>1</v>
      </c>
      <c r="AR39" s="29">
        <v>1</v>
      </c>
      <c r="AS39" s="29">
        <v>0</v>
      </c>
      <c r="AT39" s="29">
        <v>0</v>
      </c>
      <c r="AU39" s="29">
        <v>0</v>
      </c>
      <c r="AV39" s="29">
        <v>0</v>
      </c>
      <c r="AW39" s="29">
        <v>2</v>
      </c>
      <c r="AX39" s="29">
        <v>10</v>
      </c>
      <c r="AY39" s="29">
        <v>100</v>
      </c>
      <c r="AZ39" s="30">
        <v>115</v>
      </c>
    </row>
    <row r="40" spans="1:52" s="31" customFormat="1">
      <c r="A40" s="28">
        <v>37</v>
      </c>
      <c r="B40" s="43"/>
      <c r="C40" s="44"/>
      <c r="D40" s="44"/>
      <c r="E40" s="43"/>
      <c r="F40" s="44"/>
      <c r="G40" s="34">
        <v>106.1504</v>
      </c>
      <c r="H40" s="36">
        <v>-5.9193899999999999</v>
      </c>
      <c r="I40" s="29">
        <v>26</v>
      </c>
      <c r="J40" s="29">
        <v>0</v>
      </c>
      <c r="K40" s="29">
        <v>10</v>
      </c>
      <c r="L40" s="29">
        <v>10</v>
      </c>
      <c r="M40" s="29">
        <v>7</v>
      </c>
      <c r="N40" s="29">
        <v>0</v>
      </c>
      <c r="O40" s="29">
        <v>0</v>
      </c>
      <c r="P40" s="29">
        <v>8</v>
      </c>
      <c r="Q40" s="29">
        <v>1</v>
      </c>
      <c r="R40" s="29">
        <v>16</v>
      </c>
      <c r="S40" s="29">
        <v>17</v>
      </c>
      <c r="T40" s="29">
        <v>0</v>
      </c>
      <c r="U40" s="29">
        <v>8</v>
      </c>
      <c r="V40" s="29">
        <v>10</v>
      </c>
      <c r="W40" s="29">
        <v>0</v>
      </c>
      <c r="X40" s="29">
        <v>0</v>
      </c>
      <c r="Y40" s="29">
        <v>16</v>
      </c>
      <c r="Z40" s="29">
        <v>0</v>
      </c>
      <c r="AA40" s="29">
        <v>0</v>
      </c>
      <c r="AB40" s="29">
        <v>0</v>
      </c>
      <c r="AC40" s="29">
        <v>2</v>
      </c>
      <c r="AD40" s="29">
        <v>0</v>
      </c>
      <c r="AE40" s="29">
        <v>0</v>
      </c>
      <c r="AF40" s="29">
        <v>27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14</v>
      </c>
      <c r="AV40" s="29">
        <v>0</v>
      </c>
      <c r="AW40" s="29">
        <v>0</v>
      </c>
      <c r="AX40" s="29">
        <v>10</v>
      </c>
      <c r="AY40" s="29">
        <v>100</v>
      </c>
      <c r="AZ40" s="30">
        <v>172</v>
      </c>
    </row>
    <row r="41" spans="1:52" s="31" customFormat="1">
      <c r="A41" s="28">
        <v>38</v>
      </c>
      <c r="B41" s="43"/>
      <c r="C41" s="44"/>
      <c r="D41" s="44"/>
      <c r="E41" s="43"/>
      <c r="F41" s="44"/>
      <c r="G41" s="34">
        <v>106.13890000000001</v>
      </c>
      <c r="H41" s="36">
        <v>-5.9222799999999998</v>
      </c>
      <c r="I41" s="29">
        <v>0</v>
      </c>
      <c r="J41" s="29">
        <v>0</v>
      </c>
      <c r="K41" s="29">
        <v>2</v>
      </c>
      <c r="L41" s="29">
        <v>0</v>
      </c>
      <c r="M41" s="29">
        <v>4</v>
      </c>
      <c r="N41" s="29">
        <v>0</v>
      </c>
      <c r="O41" s="29">
        <v>0</v>
      </c>
      <c r="P41" s="29">
        <v>19</v>
      </c>
      <c r="Q41" s="29">
        <v>0</v>
      </c>
      <c r="R41" s="29">
        <v>23</v>
      </c>
      <c r="S41" s="29">
        <v>11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7</v>
      </c>
      <c r="AB41" s="29">
        <v>3</v>
      </c>
      <c r="AC41" s="29">
        <v>24</v>
      </c>
      <c r="AD41" s="29">
        <v>0</v>
      </c>
      <c r="AE41" s="29">
        <v>0</v>
      </c>
      <c r="AF41" s="29">
        <v>18</v>
      </c>
      <c r="AG41" s="29">
        <v>0</v>
      </c>
      <c r="AH41" s="29">
        <v>1</v>
      </c>
      <c r="AI41" s="29">
        <v>0</v>
      </c>
      <c r="AJ41" s="29">
        <v>0</v>
      </c>
      <c r="AK41" s="29">
        <v>2</v>
      </c>
      <c r="AL41" s="29">
        <v>0</v>
      </c>
      <c r="AM41" s="29">
        <v>0</v>
      </c>
      <c r="AN41" s="29">
        <v>25</v>
      </c>
      <c r="AO41" s="29">
        <v>0</v>
      </c>
      <c r="AP41" s="29">
        <v>0</v>
      </c>
      <c r="AQ41" s="29">
        <v>3</v>
      </c>
      <c r="AR41" s="29">
        <v>0</v>
      </c>
      <c r="AS41" s="29">
        <v>0</v>
      </c>
      <c r="AT41" s="29">
        <v>0</v>
      </c>
      <c r="AU41" s="29">
        <v>3</v>
      </c>
      <c r="AV41" s="29">
        <v>0</v>
      </c>
      <c r="AW41" s="29">
        <v>0</v>
      </c>
      <c r="AX41" s="29">
        <v>9</v>
      </c>
      <c r="AY41" s="29">
        <v>100</v>
      </c>
      <c r="AZ41" s="30">
        <v>145</v>
      </c>
    </row>
    <row r="42" spans="1:52" s="31" customFormat="1">
      <c r="A42" s="28">
        <v>39</v>
      </c>
      <c r="B42" s="43"/>
      <c r="C42" s="44"/>
      <c r="D42" s="44"/>
      <c r="E42" s="43"/>
      <c r="F42" s="44"/>
      <c r="G42" s="34">
        <v>106.1416</v>
      </c>
      <c r="H42" s="36">
        <v>-5.9208299999999996</v>
      </c>
      <c r="I42" s="29">
        <v>0</v>
      </c>
      <c r="J42" s="29">
        <v>112</v>
      </c>
      <c r="K42" s="29">
        <v>11</v>
      </c>
      <c r="L42" s="29">
        <v>30</v>
      </c>
      <c r="M42" s="29">
        <v>3</v>
      </c>
      <c r="N42" s="29">
        <v>9</v>
      </c>
      <c r="O42" s="29">
        <v>1</v>
      </c>
      <c r="P42" s="29">
        <v>8</v>
      </c>
      <c r="Q42" s="29">
        <v>2</v>
      </c>
      <c r="R42" s="29">
        <v>10</v>
      </c>
      <c r="S42" s="29">
        <v>2</v>
      </c>
      <c r="T42" s="29">
        <v>1</v>
      </c>
      <c r="U42" s="29">
        <v>7</v>
      </c>
      <c r="V42" s="29">
        <v>17</v>
      </c>
      <c r="W42" s="29">
        <v>0</v>
      </c>
      <c r="X42" s="29">
        <v>0</v>
      </c>
      <c r="Y42" s="29">
        <v>1</v>
      </c>
      <c r="Z42" s="29">
        <v>7</v>
      </c>
      <c r="AA42" s="29">
        <v>0</v>
      </c>
      <c r="AB42" s="29">
        <v>0</v>
      </c>
      <c r="AC42" s="29">
        <v>0</v>
      </c>
      <c r="AD42" s="29">
        <v>0</v>
      </c>
      <c r="AE42" s="29">
        <v>3</v>
      </c>
      <c r="AF42" s="29">
        <v>16</v>
      </c>
      <c r="AG42" s="29">
        <v>4</v>
      </c>
      <c r="AH42" s="29">
        <v>0</v>
      </c>
      <c r="AI42" s="29">
        <v>11</v>
      </c>
      <c r="AJ42" s="29">
        <v>0</v>
      </c>
      <c r="AK42" s="29">
        <v>4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8</v>
      </c>
      <c r="AW42" s="29">
        <v>0</v>
      </c>
      <c r="AX42" s="29">
        <v>9</v>
      </c>
      <c r="AY42" s="29">
        <v>100</v>
      </c>
      <c r="AZ42" s="30">
        <v>267</v>
      </c>
    </row>
    <row r="43" spans="1:52" s="31" customFormat="1">
      <c r="A43" s="28">
        <v>40</v>
      </c>
      <c r="B43" s="43">
        <v>7</v>
      </c>
      <c r="C43" s="44" t="s">
        <v>2</v>
      </c>
      <c r="D43" s="44" t="s">
        <v>6</v>
      </c>
      <c r="E43" s="43">
        <v>2018</v>
      </c>
      <c r="F43" s="44" t="s">
        <v>86</v>
      </c>
      <c r="G43" s="35">
        <v>106.27849999999999</v>
      </c>
      <c r="H43" s="37">
        <v>-5.8161199999999997</v>
      </c>
      <c r="I43" s="29">
        <v>0</v>
      </c>
      <c r="J43" s="29">
        <v>162</v>
      </c>
      <c r="K43" s="29">
        <v>0</v>
      </c>
      <c r="L43" s="29">
        <v>4</v>
      </c>
      <c r="M43" s="29">
        <v>1</v>
      </c>
      <c r="N43" s="29">
        <v>2</v>
      </c>
      <c r="O43" s="29">
        <v>0</v>
      </c>
      <c r="P43" s="29">
        <v>11</v>
      </c>
      <c r="Q43" s="29">
        <v>0</v>
      </c>
      <c r="R43" s="29">
        <v>10</v>
      </c>
      <c r="S43" s="29">
        <v>22</v>
      </c>
      <c r="T43" s="29">
        <v>0</v>
      </c>
      <c r="U43" s="29">
        <v>1</v>
      </c>
      <c r="V43" s="29">
        <v>0</v>
      </c>
      <c r="W43" s="29">
        <v>1</v>
      </c>
      <c r="X43" s="29">
        <v>2</v>
      </c>
      <c r="Y43" s="29">
        <v>0</v>
      </c>
      <c r="Z43" s="29">
        <v>0</v>
      </c>
      <c r="AA43" s="29">
        <v>0</v>
      </c>
      <c r="AB43" s="29">
        <v>1</v>
      </c>
      <c r="AC43" s="29">
        <v>6</v>
      </c>
      <c r="AD43" s="29">
        <v>8</v>
      </c>
      <c r="AE43" s="29">
        <v>0</v>
      </c>
      <c r="AF43" s="29">
        <v>12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1</v>
      </c>
      <c r="AQ43" s="29">
        <v>0</v>
      </c>
      <c r="AR43" s="29">
        <v>0</v>
      </c>
      <c r="AS43" s="29">
        <v>0</v>
      </c>
      <c r="AT43" s="29">
        <v>0</v>
      </c>
      <c r="AU43" s="29">
        <v>38</v>
      </c>
      <c r="AV43" s="29">
        <v>1</v>
      </c>
      <c r="AW43" s="29">
        <v>10</v>
      </c>
      <c r="AX43" s="29">
        <v>12</v>
      </c>
      <c r="AY43" s="29">
        <v>100</v>
      </c>
      <c r="AZ43" s="30">
        <f t="shared" ref="AZ43:AZ49" si="1">SUM(I43:AX43)</f>
        <v>305</v>
      </c>
    </row>
    <row r="44" spans="1:52" s="31" customFormat="1">
      <c r="A44" s="28">
        <v>41</v>
      </c>
      <c r="B44" s="43"/>
      <c r="C44" s="44"/>
      <c r="D44" s="44"/>
      <c r="E44" s="43"/>
      <c r="F44" s="44"/>
      <c r="G44" s="35">
        <v>106.28489999999999</v>
      </c>
      <c r="H44" s="37">
        <v>-5.8161800000000001</v>
      </c>
      <c r="I44" s="29">
        <v>0</v>
      </c>
      <c r="J44" s="29">
        <v>140</v>
      </c>
      <c r="K44" s="29">
        <v>3</v>
      </c>
      <c r="L44" s="29">
        <v>0</v>
      </c>
      <c r="M44" s="29">
        <v>3</v>
      </c>
      <c r="N44" s="29">
        <v>1</v>
      </c>
      <c r="O44" s="29">
        <v>2</v>
      </c>
      <c r="P44" s="29">
        <v>2</v>
      </c>
      <c r="Q44" s="29">
        <v>0</v>
      </c>
      <c r="R44" s="29">
        <v>5</v>
      </c>
      <c r="S44" s="29">
        <v>39</v>
      </c>
      <c r="T44" s="29">
        <v>0</v>
      </c>
      <c r="U44" s="29">
        <v>1</v>
      </c>
      <c r="V44" s="29">
        <v>1</v>
      </c>
      <c r="W44" s="29">
        <v>1</v>
      </c>
      <c r="X44" s="29">
        <v>0</v>
      </c>
      <c r="Y44" s="29">
        <v>1</v>
      </c>
      <c r="Z44" s="29">
        <v>0</v>
      </c>
      <c r="AA44" s="29">
        <v>0</v>
      </c>
      <c r="AB44" s="29">
        <v>0</v>
      </c>
      <c r="AC44" s="29">
        <v>2</v>
      </c>
      <c r="AD44" s="29">
        <v>7</v>
      </c>
      <c r="AE44" s="29">
        <v>0</v>
      </c>
      <c r="AF44" s="29">
        <v>5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5</v>
      </c>
      <c r="AU44" s="29">
        <v>2</v>
      </c>
      <c r="AV44" s="29">
        <v>2</v>
      </c>
      <c r="AW44" s="29">
        <v>1</v>
      </c>
      <c r="AX44" s="29">
        <v>40</v>
      </c>
      <c r="AY44" s="29">
        <v>100</v>
      </c>
      <c r="AZ44" s="30">
        <f t="shared" si="1"/>
        <v>263</v>
      </c>
    </row>
    <row r="45" spans="1:52" s="31" customFormat="1">
      <c r="A45" s="28">
        <v>42</v>
      </c>
      <c r="B45" s="43"/>
      <c r="C45" s="44"/>
      <c r="D45" s="44"/>
      <c r="E45" s="43"/>
      <c r="F45" s="44"/>
      <c r="G45" s="35">
        <v>106.2908</v>
      </c>
      <c r="H45" s="37">
        <v>-5.8092100000000002</v>
      </c>
      <c r="I45" s="29">
        <v>3</v>
      </c>
      <c r="J45" s="29">
        <v>40</v>
      </c>
      <c r="K45" s="29">
        <v>12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8</v>
      </c>
      <c r="R45" s="29">
        <v>12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2</v>
      </c>
      <c r="AB45" s="29">
        <v>0</v>
      </c>
      <c r="AC45" s="29">
        <v>0</v>
      </c>
      <c r="AD45" s="29">
        <v>4</v>
      </c>
      <c r="AE45" s="29">
        <v>0</v>
      </c>
      <c r="AF45" s="29">
        <v>0</v>
      </c>
      <c r="AG45" s="29">
        <v>9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2</v>
      </c>
      <c r="AR45" s="29">
        <v>0</v>
      </c>
      <c r="AS45" s="29">
        <v>0</v>
      </c>
      <c r="AT45" s="29">
        <v>0</v>
      </c>
      <c r="AU45" s="29">
        <v>18</v>
      </c>
      <c r="AV45" s="29">
        <v>3</v>
      </c>
      <c r="AW45" s="29">
        <v>0</v>
      </c>
      <c r="AX45" s="29">
        <v>3</v>
      </c>
      <c r="AY45" s="29">
        <v>100</v>
      </c>
      <c r="AZ45" s="30">
        <f t="shared" si="1"/>
        <v>116</v>
      </c>
    </row>
    <row r="46" spans="1:52" s="31" customFormat="1">
      <c r="A46" s="28">
        <v>43</v>
      </c>
      <c r="B46" s="43"/>
      <c r="C46" s="44"/>
      <c r="D46" s="44"/>
      <c r="E46" s="43"/>
      <c r="F46" s="44"/>
      <c r="G46" s="35">
        <v>106.27679999999999</v>
      </c>
      <c r="H46" s="37">
        <v>-5.8075400000000004</v>
      </c>
      <c r="I46" s="29">
        <v>0</v>
      </c>
      <c r="J46" s="29">
        <v>30</v>
      </c>
      <c r="K46" s="29">
        <v>3</v>
      </c>
      <c r="L46" s="29">
        <v>13</v>
      </c>
      <c r="M46" s="29">
        <v>0</v>
      </c>
      <c r="N46" s="29">
        <v>0</v>
      </c>
      <c r="O46" s="29">
        <v>0</v>
      </c>
      <c r="P46" s="29">
        <v>9</v>
      </c>
      <c r="Q46" s="29">
        <v>0</v>
      </c>
      <c r="R46" s="29">
        <v>2</v>
      </c>
      <c r="S46" s="29">
        <v>15</v>
      </c>
      <c r="T46" s="29">
        <v>1</v>
      </c>
      <c r="U46" s="29">
        <v>4</v>
      </c>
      <c r="V46" s="29">
        <v>0</v>
      </c>
      <c r="W46" s="29">
        <v>0</v>
      </c>
      <c r="X46" s="29">
        <v>0</v>
      </c>
      <c r="Y46" s="29">
        <v>0</v>
      </c>
      <c r="Z46" s="29">
        <v>23</v>
      </c>
      <c r="AA46" s="29">
        <v>1</v>
      </c>
      <c r="AB46" s="29">
        <v>1</v>
      </c>
      <c r="AC46" s="29">
        <v>0</v>
      </c>
      <c r="AD46" s="29">
        <v>13</v>
      </c>
      <c r="AE46" s="29">
        <v>0</v>
      </c>
      <c r="AF46" s="29">
        <v>1</v>
      </c>
      <c r="AG46" s="29">
        <v>1</v>
      </c>
      <c r="AH46" s="29">
        <v>0</v>
      </c>
      <c r="AI46" s="29">
        <v>2</v>
      </c>
      <c r="AJ46" s="29">
        <v>0</v>
      </c>
      <c r="AK46" s="29">
        <v>1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1</v>
      </c>
      <c r="AR46" s="29">
        <v>0</v>
      </c>
      <c r="AS46" s="29">
        <v>0</v>
      </c>
      <c r="AT46" s="29">
        <v>0</v>
      </c>
      <c r="AU46" s="29">
        <v>27</v>
      </c>
      <c r="AV46" s="29">
        <v>0</v>
      </c>
      <c r="AW46" s="29">
        <v>0</v>
      </c>
      <c r="AX46" s="29">
        <v>5</v>
      </c>
      <c r="AY46" s="29">
        <v>100</v>
      </c>
      <c r="AZ46" s="30">
        <f t="shared" si="1"/>
        <v>153</v>
      </c>
    </row>
    <row r="47" spans="1:52" s="31" customFormat="1">
      <c r="A47" s="28">
        <v>44</v>
      </c>
      <c r="B47" s="43"/>
      <c r="C47" s="44"/>
      <c r="D47" s="44"/>
      <c r="E47" s="43"/>
      <c r="F47" s="44"/>
      <c r="G47" s="35">
        <v>106.27209999999999</v>
      </c>
      <c r="H47" s="37">
        <v>-5.8071400000000004</v>
      </c>
      <c r="I47" s="29">
        <v>0</v>
      </c>
      <c r="J47" s="29">
        <v>18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19</v>
      </c>
      <c r="T47" s="29">
        <v>2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13</v>
      </c>
      <c r="AA47" s="29">
        <v>3</v>
      </c>
      <c r="AB47" s="29">
        <v>0</v>
      </c>
      <c r="AC47" s="29">
        <v>0</v>
      </c>
      <c r="AD47" s="29">
        <v>6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27</v>
      </c>
      <c r="AV47" s="29">
        <v>1</v>
      </c>
      <c r="AW47" s="29">
        <v>0</v>
      </c>
      <c r="AX47" s="29" t="s">
        <v>0</v>
      </c>
      <c r="AY47" s="29">
        <v>100</v>
      </c>
      <c r="AZ47" s="30">
        <f t="shared" si="1"/>
        <v>89</v>
      </c>
    </row>
    <row r="48" spans="1:52" s="31" customFormat="1">
      <c r="A48" s="28">
        <v>45</v>
      </c>
      <c r="B48" s="43"/>
      <c r="C48" s="44"/>
      <c r="D48" s="44"/>
      <c r="E48" s="43"/>
      <c r="F48" s="44"/>
      <c r="G48" s="35">
        <v>106.26730000000001</v>
      </c>
      <c r="H48" s="37">
        <v>-5.8072400000000002</v>
      </c>
      <c r="I48" s="29">
        <v>0</v>
      </c>
      <c r="J48" s="29">
        <v>20</v>
      </c>
      <c r="K48" s="29">
        <v>0</v>
      </c>
      <c r="L48" s="29">
        <v>15</v>
      </c>
      <c r="M48" s="29">
        <v>0</v>
      </c>
      <c r="N48" s="29">
        <v>1</v>
      </c>
      <c r="O48" s="29">
        <v>0</v>
      </c>
      <c r="P48" s="29">
        <v>4</v>
      </c>
      <c r="Q48" s="29">
        <v>0</v>
      </c>
      <c r="R48" s="29">
        <v>7</v>
      </c>
      <c r="S48" s="29">
        <v>7</v>
      </c>
      <c r="T48" s="29">
        <v>3</v>
      </c>
      <c r="U48" s="29">
        <v>1</v>
      </c>
      <c r="V48" s="29">
        <v>3</v>
      </c>
      <c r="W48" s="29">
        <v>0</v>
      </c>
      <c r="X48" s="29">
        <v>0</v>
      </c>
      <c r="Y48" s="29">
        <v>0</v>
      </c>
      <c r="Z48" s="29">
        <v>0</v>
      </c>
      <c r="AA48" s="29">
        <v>1</v>
      </c>
      <c r="AB48" s="29">
        <v>1</v>
      </c>
      <c r="AC48" s="29">
        <v>0</v>
      </c>
      <c r="AD48" s="29">
        <v>5</v>
      </c>
      <c r="AE48" s="29">
        <v>0</v>
      </c>
      <c r="AF48" s="29">
        <v>1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1</v>
      </c>
      <c r="AR48" s="29">
        <v>0</v>
      </c>
      <c r="AS48" s="29">
        <v>0</v>
      </c>
      <c r="AT48" s="29">
        <v>0</v>
      </c>
      <c r="AU48" s="29">
        <v>75</v>
      </c>
      <c r="AV48" s="29">
        <v>1</v>
      </c>
      <c r="AW48" s="29">
        <v>0</v>
      </c>
      <c r="AX48" s="29">
        <v>4</v>
      </c>
      <c r="AY48" s="29">
        <v>100</v>
      </c>
      <c r="AZ48" s="30">
        <f t="shared" si="1"/>
        <v>150</v>
      </c>
    </row>
    <row r="49" spans="1:52" s="31" customFormat="1">
      <c r="A49" s="28">
        <v>46</v>
      </c>
      <c r="B49" s="43"/>
      <c r="C49" s="44"/>
      <c r="D49" s="44"/>
      <c r="E49" s="43"/>
      <c r="F49" s="44"/>
      <c r="G49" s="35">
        <v>106.1662</v>
      </c>
      <c r="H49" s="37">
        <v>-5.4894100000000003</v>
      </c>
      <c r="I49" s="29">
        <v>0</v>
      </c>
      <c r="J49" s="29">
        <v>115</v>
      </c>
      <c r="K49" s="29">
        <v>0</v>
      </c>
      <c r="L49" s="29">
        <v>16</v>
      </c>
      <c r="M49" s="29">
        <v>12</v>
      </c>
      <c r="N49" s="29">
        <v>4</v>
      </c>
      <c r="O49" s="29">
        <v>0</v>
      </c>
      <c r="P49" s="29">
        <v>19</v>
      </c>
      <c r="Q49" s="29">
        <v>0</v>
      </c>
      <c r="R49" s="29">
        <v>39</v>
      </c>
      <c r="S49" s="29">
        <v>55</v>
      </c>
      <c r="T49" s="29">
        <v>0</v>
      </c>
      <c r="U49" s="29">
        <v>4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1</v>
      </c>
      <c r="AB49" s="29">
        <v>0</v>
      </c>
      <c r="AC49" s="29">
        <v>3</v>
      </c>
      <c r="AD49" s="29">
        <v>5</v>
      </c>
      <c r="AE49" s="29">
        <v>0</v>
      </c>
      <c r="AF49" s="29">
        <v>7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8</v>
      </c>
      <c r="AR49" s="29">
        <v>0</v>
      </c>
      <c r="AS49" s="29">
        <v>0</v>
      </c>
      <c r="AT49" s="29">
        <v>0</v>
      </c>
      <c r="AU49" s="29">
        <v>10</v>
      </c>
      <c r="AV49" s="29">
        <v>1</v>
      </c>
      <c r="AW49" s="29">
        <v>0</v>
      </c>
      <c r="AX49" s="29">
        <v>19</v>
      </c>
      <c r="AY49" s="29">
        <v>100</v>
      </c>
      <c r="AZ49" s="30">
        <f t="shared" si="1"/>
        <v>318</v>
      </c>
    </row>
    <row r="50" spans="1:52" s="31" customFormat="1">
      <c r="A50" s="28">
        <v>47</v>
      </c>
      <c r="B50" s="43"/>
      <c r="C50" s="44"/>
      <c r="D50" s="44"/>
      <c r="E50" s="43"/>
      <c r="F50" s="44"/>
      <c r="G50" s="35">
        <v>106.1699</v>
      </c>
      <c r="H50" s="37">
        <v>-5.4894299999999996</v>
      </c>
      <c r="I50" s="29">
        <v>0</v>
      </c>
      <c r="J50" s="29">
        <v>195</v>
      </c>
      <c r="K50" s="29">
        <v>0</v>
      </c>
      <c r="L50" s="29">
        <v>0</v>
      </c>
      <c r="M50" s="29">
        <v>0</v>
      </c>
      <c r="N50" s="29">
        <v>1</v>
      </c>
      <c r="O50" s="29">
        <v>0</v>
      </c>
      <c r="P50" s="29">
        <v>70</v>
      </c>
      <c r="Q50" s="29">
        <v>2</v>
      </c>
      <c r="R50" s="29">
        <v>14</v>
      </c>
      <c r="S50" s="29">
        <v>7</v>
      </c>
      <c r="T50" s="29">
        <v>0</v>
      </c>
      <c r="U50" s="29">
        <v>0</v>
      </c>
      <c r="V50" s="29">
        <v>0</v>
      </c>
      <c r="W50" s="29">
        <v>1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6</v>
      </c>
      <c r="AE50" s="29">
        <v>0</v>
      </c>
      <c r="AF50" s="29">
        <v>0</v>
      </c>
      <c r="AG50" s="29">
        <v>0</v>
      </c>
      <c r="AH50" s="29">
        <v>0</v>
      </c>
      <c r="AI50" s="29">
        <v>15</v>
      </c>
      <c r="AJ50" s="29">
        <v>0</v>
      </c>
      <c r="AK50" s="29">
        <v>1</v>
      </c>
      <c r="AL50" s="29">
        <v>0</v>
      </c>
      <c r="AM50" s="29">
        <v>0</v>
      </c>
      <c r="AN50" s="29">
        <v>0</v>
      </c>
      <c r="AO50" s="29">
        <v>0</v>
      </c>
      <c r="AP50" s="29">
        <v>13</v>
      </c>
      <c r="AQ50" s="29">
        <v>2</v>
      </c>
      <c r="AR50" s="29">
        <v>0</v>
      </c>
      <c r="AS50" s="29">
        <v>0</v>
      </c>
      <c r="AT50" s="29">
        <v>0</v>
      </c>
      <c r="AU50" s="29">
        <v>0</v>
      </c>
      <c r="AV50" s="29">
        <v>0</v>
      </c>
      <c r="AW50" s="29">
        <v>13</v>
      </c>
      <c r="AX50" s="29">
        <v>9</v>
      </c>
      <c r="AY50" s="29">
        <v>100</v>
      </c>
      <c r="AZ50" s="30">
        <f>SUM(I50:AW50)</f>
        <v>340</v>
      </c>
    </row>
    <row r="51" spans="1:52" s="31" customFormat="1" ht="15" customHeight="1">
      <c r="A51" s="28">
        <v>48</v>
      </c>
      <c r="B51" s="43">
        <v>8</v>
      </c>
      <c r="C51" s="44" t="s">
        <v>88</v>
      </c>
      <c r="D51" s="44" t="s">
        <v>7</v>
      </c>
      <c r="E51" s="43">
        <v>2016</v>
      </c>
      <c r="F51" s="44" t="s">
        <v>87</v>
      </c>
      <c r="G51" s="34">
        <v>108.6508</v>
      </c>
      <c r="H51" s="36">
        <v>-7.6941100000000002</v>
      </c>
      <c r="I51" s="29">
        <v>257</v>
      </c>
      <c r="J51" s="29">
        <v>5</v>
      </c>
      <c r="K51" s="29">
        <v>149</v>
      </c>
      <c r="L51" s="29">
        <v>16</v>
      </c>
      <c r="M51" s="29">
        <v>30</v>
      </c>
      <c r="N51" s="29">
        <v>10</v>
      </c>
      <c r="O51" s="29">
        <v>0</v>
      </c>
      <c r="P51" s="29">
        <v>44</v>
      </c>
      <c r="Q51" s="29">
        <v>45</v>
      </c>
      <c r="R51" s="29">
        <v>0</v>
      </c>
      <c r="S51" s="29">
        <v>14</v>
      </c>
      <c r="T51" s="29">
        <v>153</v>
      </c>
      <c r="U51" s="29">
        <v>228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1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1</v>
      </c>
      <c r="AP51" s="29">
        <v>0</v>
      </c>
      <c r="AQ51" s="29">
        <v>7</v>
      </c>
      <c r="AR51" s="29">
        <v>0</v>
      </c>
      <c r="AS51" s="29">
        <v>0</v>
      </c>
      <c r="AT51" s="29">
        <v>1</v>
      </c>
      <c r="AU51" s="29">
        <v>0</v>
      </c>
      <c r="AV51" s="29">
        <v>0</v>
      </c>
      <c r="AW51" s="29">
        <v>0</v>
      </c>
      <c r="AX51" s="29">
        <v>7</v>
      </c>
      <c r="AY51" s="29">
        <v>200</v>
      </c>
      <c r="AZ51" s="30">
        <f t="shared" ref="AZ51:AZ52" si="2">SUM(I51:AW51)</f>
        <v>961</v>
      </c>
    </row>
    <row r="52" spans="1:52" s="31" customFormat="1">
      <c r="A52" s="28">
        <v>49</v>
      </c>
      <c r="B52" s="43"/>
      <c r="C52" s="44"/>
      <c r="D52" s="44"/>
      <c r="E52" s="43"/>
      <c r="F52" s="44"/>
      <c r="G52" s="34">
        <v>108.6551</v>
      </c>
      <c r="H52" s="36">
        <v>-7.6979100000000003</v>
      </c>
      <c r="I52" s="29">
        <v>281</v>
      </c>
      <c r="J52" s="29">
        <v>95</v>
      </c>
      <c r="K52" s="29">
        <v>1</v>
      </c>
      <c r="L52" s="29">
        <v>3</v>
      </c>
      <c r="M52" s="29">
        <v>27</v>
      </c>
      <c r="N52" s="29">
        <v>0</v>
      </c>
      <c r="O52" s="29">
        <v>0</v>
      </c>
      <c r="P52" s="29">
        <v>55</v>
      </c>
      <c r="Q52" s="29">
        <v>13</v>
      </c>
      <c r="R52" s="29">
        <v>5</v>
      </c>
      <c r="S52" s="29">
        <v>5</v>
      </c>
      <c r="T52" s="29">
        <v>0</v>
      </c>
      <c r="U52" s="29">
        <v>0</v>
      </c>
      <c r="V52" s="29">
        <v>28</v>
      </c>
      <c r="W52" s="29">
        <v>0</v>
      </c>
      <c r="X52" s="29">
        <v>1</v>
      </c>
      <c r="Y52" s="29">
        <v>9</v>
      </c>
      <c r="Z52" s="29">
        <v>0</v>
      </c>
      <c r="AA52" s="29">
        <v>0</v>
      </c>
      <c r="AB52" s="29">
        <v>0</v>
      </c>
      <c r="AC52" s="29">
        <v>4</v>
      </c>
      <c r="AD52" s="29">
        <v>0</v>
      </c>
      <c r="AE52" s="29">
        <v>1</v>
      </c>
      <c r="AF52" s="29">
        <v>5</v>
      </c>
      <c r="AG52" s="29">
        <v>4</v>
      </c>
      <c r="AH52" s="29">
        <v>0</v>
      </c>
      <c r="AI52" s="29">
        <v>3</v>
      </c>
      <c r="AJ52" s="29">
        <v>0</v>
      </c>
      <c r="AK52" s="29">
        <v>4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4</v>
      </c>
      <c r="AR52" s="29">
        <v>1</v>
      </c>
      <c r="AS52" s="29">
        <v>0</v>
      </c>
      <c r="AT52" s="29">
        <v>0</v>
      </c>
      <c r="AU52" s="29">
        <v>12</v>
      </c>
      <c r="AV52" s="29">
        <v>0</v>
      </c>
      <c r="AW52" s="29">
        <v>0</v>
      </c>
      <c r="AX52" s="29">
        <v>4.5</v>
      </c>
      <c r="AY52" s="29">
        <v>300</v>
      </c>
      <c r="AZ52" s="30">
        <f t="shared" si="2"/>
        <v>561</v>
      </c>
    </row>
    <row r="53" spans="1:52" s="31" customFormat="1" ht="14.5" customHeight="1">
      <c r="A53" s="28">
        <v>50</v>
      </c>
      <c r="B53" s="43"/>
      <c r="C53" s="44"/>
      <c r="D53" s="44" t="s">
        <v>7</v>
      </c>
      <c r="E53" s="43">
        <v>2017</v>
      </c>
      <c r="F53" s="44"/>
      <c r="G53" s="34">
        <v>108.6554</v>
      </c>
      <c r="H53" s="36">
        <v>-7.7048300000000003</v>
      </c>
      <c r="I53" s="29">
        <v>72</v>
      </c>
      <c r="J53" s="29">
        <v>30</v>
      </c>
      <c r="K53" s="29">
        <v>7</v>
      </c>
      <c r="L53" s="29">
        <v>0</v>
      </c>
      <c r="M53" s="29">
        <v>1</v>
      </c>
      <c r="N53" s="29">
        <v>1</v>
      </c>
      <c r="O53" s="29">
        <v>0</v>
      </c>
      <c r="P53" s="29">
        <v>14</v>
      </c>
      <c r="Q53" s="29">
        <v>7</v>
      </c>
      <c r="R53" s="29">
        <v>2</v>
      </c>
      <c r="S53" s="29">
        <v>0</v>
      </c>
      <c r="T53" s="29">
        <v>0</v>
      </c>
      <c r="U53" s="29">
        <v>8</v>
      </c>
      <c r="V53" s="29">
        <v>0</v>
      </c>
      <c r="W53" s="29">
        <v>0</v>
      </c>
      <c r="X53" s="29">
        <v>0</v>
      </c>
      <c r="Y53" s="29">
        <v>3</v>
      </c>
      <c r="Z53" s="29">
        <v>7</v>
      </c>
      <c r="AA53" s="29">
        <v>0</v>
      </c>
      <c r="AB53" s="29">
        <v>1</v>
      </c>
      <c r="AC53" s="29">
        <v>0</v>
      </c>
      <c r="AD53" s="29">
        <v>0</v>
      </c>
      <c r="AE53" s="29">
        <v>0</v>
      </c>
      <c r="AF53" s="29">
        <v>85</v>
      </c>
      <c r="AG53" s="29">
        <v>0</v>
      </c>
      <c r="AH53" s="29">
        <v>4</v>
      </c>
      <c r="AI53" s="29">
        <v>21</v>
      </c>
      <c r="AJ53" s="29">
        <v>0</v>
      </c>
      <c r="AK53" s="29">
        <v>1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1</v>
      </c>
      <c r="AV53" s="29">
        <v>0</v>
      </c>
      <c r="AW53" s="29">
        <v>3</v>
      </c>
      <c r="AX53" s="29">
        <v>9.6999999999999993</v>
      </c>
      <c r="AY53" s="29">
        <v>100</v>
      </c>
      <c r="AZ53" s="30">
        <f t="shared" ref="AZ53:AZ66" si="3">SUM(I53:AW53)</f>
        <v>268</v>
      </c>
    </row>
    <row r="54" spans="1:52" s="31" customFormat="1">
      <c r="A54" s="28">
        <v>51</v>
      </c>
      <c r="B54" s="43"/>
      <c r="C54" s="44"/>
      <c r="D54" s="44"/>
      <c r="E54" s="43"/>
      <c r="F54" s="44"/>
      <c r="G54" s="34">
        <v>108.65560000000001</v>
      </c>
      <c r="H54" s="36">
        <v>-7.7039299999999997</v>
      </c>
      <c r="I54" s="29">
        <v>150</v>
      </c>
      <c r="J54" s="29">
        <v>22</v>
      </c>
      <c r="K54" s="29">
        <v>1</v>
      </c>
      <c r="L54" s="29">
        <v>0</v>
      </c>
      <c r="M54" s="29">
        <v>10</v>
      </c>
      <c r="N54" s="29">
        <v>0</v>
      </c>
      <c r="O54" s="29">
        <v>1</v>
      </c>
      <c r="P54" s="29">
        <v>46</v>
      </c>
      <c r="Q54" s="29">
        <v>12</v>
      </c>
      <c r="R54" s="29">
        <v>6</v>
      </c>
      <c r="S54" s="29">
        <v>0</v>
      </c>
      <c r="T54" s="29">
        <v>0</v>
      </c>
      <c r="U54" s="29">
        <v>41</v>
      </c>
      <c r="V54" s="29">
        <v>29</v>
      </c>
      <c r="W54" s="29">
        <v>1</v>
      </c>
      <c r="X54" s="29">
        <v>1</v>
      </c>
      <c r="Y54" s="29">
        <v>4</v>
      </c>
      <c r="Z54" s="29">
        <v>0</v>
      </c>
      <c r="AA54" s="29">
        <v>0</v>
      </c>
      <c r="AB54" s="29">
        <v>0</v>
      </c>
      <c r="AC54" s="29">
        <v>0</v>
      </c>
      <c r="AD54" s="29">
        <v>1</v>
      </c>
      <c r="AE54" s="29">
        <v>2</v>
      </c>
      <c r="AF54" s="29">
        <v>5</v>
      </c>
      <c r="AG54" s="29">
        <v>6</v>
      </c>
      <c r="AH54" s="29">
        <v>6</v>
      </c>
      <c r="AI54" s="29">
        <v>12</v>
      </c>
      <c r="AJ54" s="29">
        <v>0</v>
      </c>
      <c r="AK54" s="29">
        <v>3</v>
      </c>
      <c r="AL54" s="29">
        <v>0</v>
      </c>
      <c r="AM54" s="29">
        <v>0</v>
      </c>
      <c r="AN54" s="29">
        <v>2</v>
      </c>
      <c r="AO54" s="29">
        <v>0</v>
      </c>
      <c r="AP54" s="29">
        <v>0</v>
      </c>
      <c r="AQ54" s="29">
        <v>1</v>
      </c>
      <c r="AR54" s="29">
        <v>0</v>
      </c>
      <c r="AS54" s="29">
        <v>0</v>
      </c>
      <c r="AT54" s="29">
        <v>0</v>
      </c>
      <c r="AU54" s="29">
        <v>16</v>
      </c>
      <c r="AV54" s="29">
        <v>0</v>
      </c>
      <c r="AW54" s="29">
        <v>0</v>
      </c>
      <c r="AX54" s="29">
        <v>8.1999999999999993</v>
      </c>
      <c r="AY54" s="29">
        <v>100</v>
      </c>
      <c r="AZ54" s="30">
        <f t="shared" si="3"/>
        <v>378</v>
      </c>
    </row>
    <row r="55" spans="1:52" s="31" customFormat="1">
      <c r="A55" s="28">
        <v>52</v>
      </c>
      <c r="B55" s="43"/>
      <c r="C55" s="44"/>
      <c r="D55" s="44"/>
      <c r="E55" s="43"/>
      <c r="F55" s="44"/>
      <c r="G55" s="34">
        <v>108.6559</v>
      </c>
      <c r="H55" s="36">
        <v>-7.7030099999999999</v>
      </c>
      <c r="I55" s="29">
        <v>96</v>
      </c>
      <c r="J55" s="29">
        <v>91</v>
      </c>
      <c r="K55" s="29">
        <v>5</v>
      </c>
      <c r="L55" s="29">
        <v>12</v>
      </c>
      <c r="M55" s="29">
        <v>4</v>
      </c>
      <c r="N55" s="29">
        <v>0</v>
      </c>
      <c r="O55" s="29">
        <v>3</v>
      </c>
      <c r="P55" s="29">
        <v>12</v>
      </c>
      <c r="Q55" s="29">
        <v>7</v>
      </c>
      <c r="R55" s="29">
        <v>3</v>
      </c>
      <c r="S55" s="29">
        <v>0</v>
      </c>
      <c r="T55" s="29">
        <v>0</v>
      </c>
      <c r="U55" s="29">
        <v>8</v>
      </c>
      <c r="V55" s="29">
        <v>0</v>
      </c>
      <c r="W55" s="29">
        <v>0</v>
      </c>
      <c r="X55" s="29">
        <v>15</v>
      </c>
      <c r="Y55" s="29">
        <v>1</v>
      </c>
      <c r="Z55" s="29">
        <v>4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4</v>
      </c>
      <c r="AI55" s="29">
        <v>17</v>
      </c>
      <c r="AJ55" s="29">
        <v>0</v>
      </c>
      <c r="AK55" s="29">
        <v>3</v>
      </c>
      <c r="AL55" s="29">
        <v>0</v>
      </c>
      <c r="AM55" s="29">
        <v>1</v>
      </c>
      <c r="AN55" s="29">
        <v>0</v>
      </c>
      <c r="AO55" s="29">
        <v>0</v>
      </c>
      <c r="AP55" s="29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10</v>
      </c>
      <c r="AV55" s="29">
        <v>0</v>
      </c>
      <c r="AW55" s="29">
        <v>0</v>
      </c>
      <c r="AX55" s="29">
        <v>3.3</v>
      </c>
      <c r="AY55" s="29">
        <v>100</v>
      </c>
      <c r="AZ55" s="30">
        <f t="shared" si="3"/>
        <v>296</v>
      </c>
    </row>
    <row r="56" spans="1:52" s="31" customFormat="1">
      <c r="A56" s="28">
        <v>53</v>
      </c>
      <c r="B56" s="43"/>
      <c r="C56" s="44"/>
      <c r="D56" s="44"/>
      <c r="E56" s="43"/>
      <c r="F56" s="44"/>
      <c r="G56" s="34">
        <v>108.6561</v>
      </c>
      <c r="H56" s="36">
        <v>-7.7021300000000004</v>
      </c>
      <c r="I56" s="29">
        <v>30</v>
      </c>
      <c r="J56" s="29">
        <v>0</v>
      </c>
      <c r="K56" s="29">
        <v>14</v>
      </c>
      <c r="L56" s="29">
        <v>33</v>
      </c>
      <c r="M56" s="29">
        <v>7</v>
      </c>
      <c r="N56" s="29">
        <v>2</v>
      </c>
      <c r="O56" s="29">
        <v>0</v>
      </c>
      <c r="P56" s="29">
        <v>24</v>
      </c>
      <c r="Q56" s="29">
        <v>8</v>
      </c>
      <c r="R56" s="29">
        <v>2</v>
      </c>
      <c r="S56" s="29">
        <v>3</v>
      </c>
      <c r="T56" s="29">
        <v>0</v>
      </c>
      <c r="U56" s="29">
        <v>14</v>
      </c>
      <c r="V56" s="29">
        <v>13</v>
      </c>
      <c r="W56" s="29">
        <v>14</v>
      </c>
      <c r="X56" s="29">
        <v>8</v>
      </c>
      <c r="Y56" s="29">
        <v>19</v>
      </c>
      <c r="Z56" s="29">
        <v>0</v>
      </c>
      <c r="AA56" s="29">
        <v>0</v>
      </c>
      <c r="AB56" s="29">
        <v>0</v>
      </c>
      <c r="AC56" s="29">
        <v>3</v>
      </c>
      <c r="AD56" s="29">
        <v>0</v>
      </c>
      <c r="AE56" s="29">
        <v>1</v>
      </c>
      <c r="AF56" s="29">
        <v>18</v>
      </c>
      <c r="AG56" s="29">
        <v>0</v>
      </c>
      <c r="AH56" s="29">
        <v>20</v>
      </c>
      <c r="AI56" s="29">
        <v>28</v>
      </c>
      <c r="AJ56" s="29">
        <v>0</v>
      </c>
      <c r="AK56" s="29">
        <v>4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29">
        <v>3</v>
      </c>
      <c r="AS56" s="29">
        <v>0</v>
      </c>
      <c r="AT56" s="29">
        <v>0</v>
      </c>
      <c r="AU56" s="29">
        <v>17</v>
      </c>
      <c r="AV56" s="29">
        <v>0</v>
      </c>
      <c r="AW56" s="29">
        <v>0</v>
      </c>
      <c r="AX56" s="29">
        <v>10.5</v>
      </c>
      <c r="AY56" s="29">
        <v>100</v>
      </c>
      <c r="AZ56" s="30">
        <f t="shared" si="3"/>
        <v>285</v>
      </c>
    </row>
    <row r="57" spans="1:52" s="31" customFormat="1" ht="15" customHeight="1">
      <c r="A57" s="28">
        <v>54</v>
      </c>
      <c r="B57" s="43"/>
      <c r="C57" s="44"/>
      <c r="D57" s="44" t="s">
        <v>6</v>
      </c>
      <c r="E57" s="43">
        <v>2017</v>
      </c>
      <c r="F57" s="44"/>
      <c r="G57" s="34">
        <v>108.6554</v>
      </c>
      <c r="H57" s="36">
        <v>-7.7048300000000003</v>
      </c>
      <c r="I57" s="29">
        <v>186</v>
      </c>
      <c r="J57" s="29">
        <v>8</v>
      </c>
      <c r="K57" s="29">
        <v>149</v>
      </c>
      <c r="L57" s="29">
        <v>46</v>
      </c>
      <c r="M57" s="29">
        <v>28</v>
      </c>
      <c r="N57" s="29">
        <v>1</v>
      </c>
      <c r="O57" s="29">
        <v>2</v>
      </c>
      <c r="P57" s="29">
        <v>39</v>
      </c>
      <c r="Q57" s="29">
        <v>36</v>
      </c>
      <c r="R57" s="29">
        <v>15</v>
      </c>
      <c r="S57" s="29">
        <v>2</v>
      </c>
      <c r="T57" s="29">
        <v>0</v>
      </c>
      <c r="U57" s="29">
        <v>70</v>
      </c>
      <c r="V57" s="29">
        <v>0</v>
      </c>
      <c r="W57" s="29">
        <v>29</v>
      </c>
      <c r="X57" s="29">
        <v>5</v>
      </c>
      <c r="Y57" s="29">
        <v>14</v>
      </c>
      <c r="Z57" s="29">
        <v>6</v>
      </c>
      <c r="AA57" s="29">
        <v>1</v>
      </c>
      <c r="AB57" s="29">
        <v>0</v>
      </c>
      <c r="AC57" s="29">
        <v>0</v>
      </c>
      <c r="AD57" s="29">
        <v>3</v>
      </c>
      <c r="AE57" s="29">
        <v>0</v>
      </c>
      <c r="AF57" s="29">
        <v>0</v>
      </c>
      <c r="AG57" s="29">
        <v>0</v>
      </c>
      <c r="AH57" s="29">
        <v>2</v>
      </c>
      <c r="AI57" s="29">
        <v>26</v>
      </c>
      <c r="AJ57" s="29">
        <v>0</v>
      </c>
      <c r="AK57" s="29">
        <v>4</v>
      </c>
      <c r="AL57" s="29">
        <v>0</v>
      </c>
      <c r="AM57" s="29">
        <v>0</v>
      </c>
      <c r="AN57" s="29">
        <v>1</v>
      </c>
      <c r="AO57" s="29">
        <v>0</v>
      </c>
      <c r="AP57" s="29">
        <v>0</v>
      </c>
      <c r="AQ57" s="29">
        <v>4</v>
      </c>
      <c r="AR57" s="29">
        <v>3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4.4249999999999998</v>
      </c>
      <c r="AY57" s="29">
        <v>100</v>
      </c>
      <c r="AZ57" s="30">
        <f t="shared" si="3"/>
        <v>680</v>
      </c>
    </row>
    <row r="58" spans="1:52" s="31" customFormat="1">
      <c r="A58" s="28">
        <v>55</v>
      </c>
      <c r="B58" s="43"/>
      <c r="C58" s="44"/>
      <c r="D58" s="44"/>
      <c r="E58" s="43"/>
      <c r="F58" s="44"/>
      <c r="G58" s="34">
        <v>108.65560000000001</v>
      </c>
      <c r="H58" s="36">
        <v>-7.7039299999999997</v>
      </c>
      <c r="I58" s="29">
        <v>440</v>
      </c>
      <c r="J58" s="29">
        <v>67</v>
      </c>
      <c r="K58" s="29">
        <v>0</v>
      </c>
      <c r="L58" s="29">
        <v>0</v>
      </c>
      <c r="M58" s="29">
        <v>28</v>
      </c>
      <c r="N58" s="29">
        <v>1</v>
      </c>
      <c r="O58" s="29">
        <v>1</v>
      </c>
      <c r="P58" s="29">
        <v>58</v>
      </c>
      <c r="Q58" s="29">
        <v>32</v>
      </c>
      <c r="R58" s="29">
        <v>4</v>
      </c>
      <c r="S58" s="29">
        <v>2</v>
      </c>
      <c r="T58" s="29">
        <v>1</v>
      </c>
      <c r="U58" s="29">
        <v>17</v>
      </c>
      <c r="V58" s="29">
        <v>205</v>
      </c>
      <c r="W58" s="29">
        <v>24</v>
      </c>
      <c r="X58" s="29">
        <v>5</v>
      </c>
      <c r="Y58" s="29">
        <v>24</v>
      </c>
      <c r="Z58" s="29">
        <v>16</v>
      </c>
      <c r="AA58" s="29">
        <v>0</v>
      </c>
      <c r="AB58" s="29">
        <v>16</v>
      </c>
      <c r="AC58" s="29">
        <v>0</v>
      </c>
      <c r="AD58" s="29">
        <v>38</v>
      </c>
      <c r="AE58" s="29">
        <v>0</v>
      </c>
      <c r="AF58" s="29">
        <v>4</v>
      </c>
      <c r="AG58" s="29">
        <v>0</v>
      </c>
      <c r="AH58" s="29">
        <v>0</v>
      </c>
      <c r="AI58" s="29">
        <v>56</v>
      </c>
      <c r="AJ58" s="29">
        <v>0</v>
      </c>
      <c r="AK58" s="29">
        <v>5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33</v>
      </c>
      <c r="AV58" s="29">
        <v>0</v>
      </c>
      <c r="AW58" s="29">
        <v>30</v>
      </c>
      <c r="AX58" s="29">
        <v>15</v>
      </c>
      <c r="AY58" s="29">
        <v>100</v>
      </c>
      <c r="AZ58" s="30">
        <f t="shared" si="3"/>
        <v>1107</v>
      </c>
    </row>
    <row r="59" spans="1:52" s="31" customFormat="1">
      <c r="A59" s="28">
        <v>56</v>
      </c>
      <c r="B59" s="43"/>
      <c r="C59" s="44"/>
      <c r="D59" s="44"/>
      <c r="E59" s="43"/>
      <c r="F59" s="44"/>
      <c r="G59" s="34">
        <v>108.6559</v>
      </c>
      <c r="H59" s="36">
        <v>-7.7030099999999999</v>
      </c>
      <c r="I59" s="29">
        <v>149</v>
      </c>
      <c r="J59" s="29">
        <v>29</v>
      </c>
      <c r="K59" s="29">
        <v>0</v>
      </c>
      <c r="L59" s="29">
        <v>0</v>
      </c>
      <c r="M59" s="29">
        <v>0</v>
      </c>
      <c r="N59" s="29">
        <v>0</v>
      </c>
      <c r="O59" s="29">
        <v>7</v>
      </c>
      <c r="P59" s="29">
        <v>30</v>
      </c>
      <c r="Q59" s="29">
        <v>10</v>
      </c>
      <c r="R59" s="29">
        <v>0</v>
      </c>
      <c r="S59" s="29">
        <v>1</v>
      </c>
      <c r="T59" s="29">
        <v>1</v>
      </c>
      <c r="U59" s="29">
        <v>0</v>
      </c>
      <c r="V59" s="29">
        <v>1</v>
      </c>
      <c r="W59" s="29">
        <v>0</v>
      </c>
      <c r="X59" s="29">
        <v>5</v>
      </c>
      <c r="Y59" s="29">
        <v>21</v>
      </c>
      <c r="Z59" s="29">
        <v>19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33</v>
      </c>
      <c r="AG59" s="29">
        <v>0</v>
      </c>
      <c r="AH59" s="29">
        <v>1</v>
      </c>
      <c r="AI59" s="29">
        <v>21</v>
      </c>
      <c r="AJ59" s="29">
        <v>0</v>
      </c>
      <c r="AK59" s="29">
        <v>2</v>
      </c>
      <c r="AL59" s="29">
        <v>0</v>
      </c>
      <c r="AM59" s="29">
        <v>0</v>
      </c>
      <c r="AN59" s="29">
        <v>0</v>
      </c>
      <c r="AO59" s="29">
        <v>1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24</v>
      </c>
      <c r="AV59" s="29">
        <v>0</v>
      </c>
      <c r="AW59" s="29">
        <v>1</v>
      </c>
      <c r="AX59" s="29">
        <v>4.38</v>
      </c>
      <c r="AY59" s="29">
        <v>100</v>
      </c>
      <c r="AZ59" s="30">
        <f t="shared" si="3"/>
        <v>356</v>
      </c>
    </row>
    <row r="60" spans="1:52" s="31" customFormat="1">
      <c r="A60" s="28">
        <v>57</v>
      </c>
      <c r="B60" s="43"/>
      <c r="C60" s="44"/>
      <c r="D60" s="44"/>
      <c r="E60" s="43"/>
      <c r="F60" s="44"/>
      <c r="G60" s="34">
        <v>108.6561</v>
      </c>
      <c r="H60" s="36">
        <v>-7.7021300000000004</v>
      </c>
      <c r="I60" s="29">
        <v>260</v>
      </c>
      <c r="J60" s="29">
        <v>5</v>
      </c>
      <c r="K60" s="29">
        <v>0</v>
      </c>
      <c r="L60" s="29">
        <v>0</v>
      </c>
      <c r="M60" s="29">
        <v>11</v>
      </c>
      <c r="N60" s="29">
        <v>0</v>
      </c>
      <c r="O60" s="29">
        <v>12</v>
      </c>
      <c r="P60" s="29">
        <v>25</v>
      </c>
      <c r="Q60" s="29">
        <v>13</v>
      </c>
      <c r="R60" s="29">
        <v>5</v>
      </c>
      <c r="S60" s="29">
        <v>1</v>
      </c>
      <c r="T60" s="29">
        <v>0</v>
      </c>
      <c r="U60" s="29">
        <v>10</v>
      </c>
      <c r="V60" s="29">
        <v>2</v>
      </c>
      <c r="W60" s="29">
        <v>6</v>
      </c>
      <c r="X60" s="29">
        <v>3</v>
      </c>
      <c r="Y60" s="29">
        <v>16</v>
      </c>
      <c r="Z60" s="29">
        <v>5</v>
      </c>
      <c r="AA60" s="29">
        <v>0</v>
      </c>
      <c r="AB60" s="29">
        <v>0</v>
      </c>
      <c r="AC60" s="29">
        <v>22</v>
      </c>
      <c r="AD60" s="29">
        <v>1</v>
      </c>
      <c r="AE60" s="29">
        <v>0</v>
      </c>
      <c r="AF60" s="29">
        <v>66</v>
      </c>
      <c r="AG60" s="29">
        <v>0</v>
      </c>
      <c r="AH60" s="29">
        <v>0</v>
      </c>
      <c r="AI60" s="29">
        <v>30</v>
      </c>
      <c r="AJ60" s="29">
        <v>0</v>
      </c>
      <c r="AK60" s="29">
        <v>5</v>
      </c>
      <c r="AL60" s="29">
        <v>0</v>
      </c>
      <c r="AM60" s="29">
        <v>1</v>
      </c>
      <c r="AN60" s="29">
        <v>0</v>
      </c>
      <c r="AO60" s="29">
        <v>5</v>
      </c>
      <c r="AP60" s="29">
        <v>0</v>
      </c>
      <c r="AQ60" s="29">
        <v>0</v>
      </c>
      <c r="AR60" s="29">
        <v>0</v>
      </c>
      <c r="AS60" s="29">
        <v>0</v>
      </c>
      <c r="AT60" s="29">
        <v>1</v>
      </c>
      <c r="AU60" s="29">
        <v>1</v>
      </c>
      <c r="AV60" s="29">
        <v>0</v>
      </c>
      <c r="AW60" s="29">
        <v>0</v>
      </c>
      <c r="AX60" s="29">
        <v>8.375</v>
      </c>
      <c r="AY60" s="29">
        <v>100</v>
      </c>
      <c r="AZ60" s="30">
        <f t="shared" si="3"/>
        <v>506</v>
      </c>
    </row>
    <row r="61" spans="1:52" s="31" customFormat="1">
      <c r="A61" s="28">
        <v>58</v>
      </c>
      <c r="B61" s="43"/>
      <c r="C61" s="44"/>
      <c r="D61" s="44"/>
      <c r="E61" s="43"/>
      <c r="F61" s="44"/>
      <c r="G61" s="34">
        <v>108.6558</v>
      </c>
      <c r="H61" s="36">
        <v>-7.7012499999999999</v>
      </c>
      <c r="I61" s="29">
        <v>326</v>
      </c>
      <c r="J61" s="29">
        <v>288</v>
      </c>
      <c r="K61" s="29">
        <v>0</v>
      </c>
      <c r="L61" s="29">
        <v>6</v>
      </c>
      <c r="M61" s="29">
        <v>5</v>
      </c>
      <c r="N61" s="29">
        <v>1</v>
      </c>
      <c r="O61" s="29">
        <v>0</v>
      </c>
      <c r="P61" s="29">
        <v>133</v>
      </c>
      <c r="Q61" s="29">
        <v>24</v>
      </c>
      <c r="R61" s="29">
        <v>11</v>
      </c>
      <c r="S61" s="29">
        <v>8</v>
      </c>
      <c r="T61" s="29">
        <v>0</v>
      </c>
      <c r="U61" s="29">
        <v>3</v>
      </c>
      <c r="V61" s="29">
        <v>13</v>
      </c>
      <c r="W61" s="29">
        <v>14</v>
      </c>
      <c r="X61" s="29">
        <v>8</v>
      </c>
      <c r="Y61" s="29">
        <v>22</v>
      </c>
      <c r="Z61" s="29">
        <v>38</v>
      </c>
      <c r="AA61" s="29">
        <v>0</v>
      </c>
      <c r="AB61" s="29">
        <v>0</v>
      </c>
      <c r="AC61" s="29">
        <v>285</v>
      </c>
      <c r="AD61" s="29">
        <v>0</v>
      </c>
      <c r="AE61" s="29">
        <v>0</v>
      </c>
      <c r="AF61" s="29">
        <v>27</v>
      </c>
      <c r="AG61" s="29">
        <v>2</v>
      </c>
      <c r="AH61" s="29">
        <v>0</v>
      </c>
      <c r="AI61" s="29">
        <v>54</v>
      </c>
      <c r="AJ61" s="29">
        <v>0</v>
      </c>
      <c r="AK61" s="29">
        <v>2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8</v>
      </c>
      <c r="AU61" s="29">
        <v>1</v>
      </c>
      <c r="AV61" s="29">
        <v>1</v>
      </c>
      <c r="AW61" s="29">
        <v>0</v>
      </c>
      <c r="AX61" s="29">
        <v>11.4</v>
      </c>
      <c r="AY61" s="29">
        <v>100</v>
      </c>
      <c r="AZ61" s="30">
        <f t="shared" si="3"/>
        <v>1280</v>
      </c>
    </row>
    <row r="62" spans="1:52" s="31" customFormat="1">
      <c r="A62" s="28">
        <v>59</v>
      </c>
      <c r="B62" s="43"/>
      <c r="C62" s="44"/>
      <c r="D62" s="44" t="s">
        <v>5</v>
      </c>
      <c r="E62" s="43">
        <v>2017</v>
      </c>
      <c r="F62" s="44"/>
      <c r="G62" s="34">
        <v>108.6554</v>
      </c>
      <c r="H62" s="36">
        <v>-7.7048300000000003</v>
      </c>
      <c r="I62" s="29">
        <v>72</v>
      </c>
      <c r="J62" s="29">
        <v>373</v>
      </c>
      <c r="K62" s="29">
        <v>150</v>
      </c>
      <c r="L62" s="29">
        <v>0</v>
      </c>
      <c r="M62" s="29">
        <v>0</v>
      </c>
      <c r="N62" s="29">
        <v>0</v>
      </c>
      <c r="O62" s="29">
        <v>0</v>
      </c>
      <c r="P62" s="29">
        <v>21</v>
      </c>
      <c r="Q62" s="29">
        <v>8</v>
      </c>
      <c r="R62" s="29">
        <v>26</v>
      </c>
      <c r="S62" s="29">
        <v>3</v>
      </c>
      <c r="T62" s="29">
        <v>0</v>
      </c>
      <c r="U62" s="29">
        <v>0</v>
      </c>
      <c r="V62" s="29">
        <v>969</v>
      </c>
      <c r="W62" s="29">
        <v>0</v>
      </c>
      <c r="X62" s="29">
        <v>121</v>
      </c>
      <c r="Y62" s="29">
        <v>110</v>
      </c>
      <c r="Z62" s="29">
        <v>0</v>
      </c>
      <c r="AA62" s="29">
        <v>0</v>
      </c>
      <c r="AB62" s="29">
        <v>1</v>
      </c>
      <c r="AC62" s="29">
        <v>5</v>
      </c>
      <c r="AD62" s="29">
        <v>0</v>
      </c>
      <c r="AE62" s="29">
        <v>0</v>
      </c>
      <c r="AF62" s="29">
        <v>3</v>
      </c>
      <c r="AG62" s="29">
        <v>2</v>
      </c>
      <c r="AH62" s="29">
        <v>0</v>
      </c>
      <c r="AI62" s="29">
        <v>2</v>
      </c>
      <c r="AJ62" s="29">
        <v>0</v>
      </c>
      <c r="AK62" s="29">
        <v>3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2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37.049999999999997</v>
      </c>
      <c r="AY62" s="29">
        <v>100</v>
      </c>
      <c r="AZ62" s="33">
        <f t="shared" si="3"/>
        <v>1871</v>
      </c>
    </row>
    <row r="63" spans="1:52" s="31" customFormat="1">
      <c r="A63" s="28">
        <v>60</v>
      </c>
      <c r="B63" s="43"/>
      <c r="C63" s="44"/>
      <c r="D63" s="44"/>
      <c r="E63" s="43"/>
      <c r="F63" s="44"/>
      <c r="G63" s="34">
        <v>108.65560000000001</v>
      </c>
      <c r="H63" s="36">
        <v>-7.7039299999999997</v>
      </c>
      <c r="I63" s="29">
        <v>80</v>
      </c>
      <c r="J63" s="29">
        <v>110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382</v>
      </c>
      <c r="Q63" s="29">
        <v>11</v>
      </c>
      <c r="R63" s="29">
        <v>9</v>
      </c>
      <c r="S63" s="29">
        <v>0</v>
      </c>
      <c r="T63" s="29">
        <v>0</v>
      </c>
      <c r="U63" s="29">
        <v>0</v>
      </c>
      <c r="V63" s="29">
        <v>71</v>
      </c>
      <c r="W63" s="29">
        <v>1</v>
      </c>
      <c r="X63" s="29">
        <v>0</v>
      </c>
      <c r="Y63" s="29">
        <v>17</v>
      </c>
      <c r="Z63" s="29">
        <v>19</v>
      </c>
      <c r="AA63" s="29">
        <v>0</v>
      </c>
      <c r="AB63" s="29">
        <v>0</v>
      </c>
      <c r="AC63" s="29">
        <v>14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5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4.9000000000000004</v>
      </c>
      <c r="AY63" s="29">
        <v>100</v>
      </c>
      <c r="AZ63" s="33">
        <f t="shared" si="3"/>
        <v>719</v>
      </c>
    </row>
    <row r="64" spans="1:52" s="31" customFormat="1">
      <c r="A64" s="28">
        <v>61</v>
      </c>
      <c r="B64" s="43"/>
      <c r="C64" s="44"/>
      <c r="D64" s="44"/>
      <c r="E64" s="43"/>
      <c r="F64" s="44"/>
      <c r="G64" s="34">
        <v>108.6559</v>
      </c>
      <c r="H64" s="36">
        <v>-7.7030099999999999</v>
      </c>
      <c r="I64" s="29">
        <v>80</v>
      </c>
      <c r="J64" s="29">
        <v>42</v>
      </c>
      <c r="K64" s="29">
        <v>0</v>
      </c>
      <c r="L64" s="29">
        <v>0</v>
      </c>
      <c r="M64" s="29">
        <v>0</v>
      </c>
      <c r="N64" s="29">
        <v>0</v>
      </c>
      <c r="O64" s="29">
        <v>25</v>
      </c>
      <c r="P64" s="29">
        <v>46</v>
      </c>
      <c r="Q64" s="29">
        <v>11</v>
      </c>
      <c r="R64" s="29">
        <v>5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1</v>
      </c>
      <c r="Y64" s="29">
        <v>10</v>
      </c>
      <c r="Z64" s="29">
        <v>10</v>
      </c>
      <c r="AA64" s="29">
        <v>0</v>
      </c>
      <c r="AB64" s="29">
        <v>0</v>
      </c>
      <c r="AC64" s="29">
        <v>8</v>
      </c>
      <c r="AD64" s="29">
        <v>0</v>
      </c>
      <c r="AE64" s="29">
        <v>0</v>
      </c>
      <c r="AF64" s="29">
        <v>52</v>
      </c>
      <c r="AG64" s="29">
        <v>0</v>
      </c>
      <c r="AH64" s="29">
        <v>1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13</v>
      </c>
      <c r="AV64" s="29">
        <v>0</v>
      </c>
      <c r="AW64" s="29">
        <v>0</v>
      </c>
      <c r="AX64" s="29">
        <v>3.86</v>
      </c>
      <c r="AY64" s="29">
        <v>100</v>
      </c>
      <c r="AZ64" s="33">
        <f t="shared" si="3"/>
        <v>304</v>
      </c>
    </row>
    <row r="65" spans="1:52" s="31" customFormat="1">
      <c r="A65" s="28">
        <v>62</v>
      </c>
      <c r="B65" s="43"/>
      <c r="C65" s="44"/>
      <c r="D65" s="44"/>
      <c r="E65" s="43"/>
      <c r="F65" s="44"/>
      <c r="G65" s="34">
        <v>108.6561</v>
      </c>
      <c r="H65" s="36">
        <v>-7.7021300000000004</v>
      </c>
      <c r="I65" s="29">
        <v>43</v>
      </c>
      <c r="J65" s="29">
        <v>1</v>
      </c>
      <c r="K65" s="29">
        <v>0</v>
      </c>
      <c r="L65" s="29">
        <v>0</v>
      </c>
      <c r="M65" s="29">
        <v>4</v>
      </c>
      <c r="N65" s="29">
        <v>1</v>
      </c>
      <c r="O65" s="29">
        <v>2</v>
      </c>
      <c r="P65" s="29">
        <v>38</v>
      </c>
      <c r="Q65" s="29">
        <v>4</v>
      </c>
      <c r="R65" s="29">
        <v>1</v>
      </c>
      <c r="S65" s="29">
        <v>0</v>
      </c>
      <c r="T65" s="29">
        <v>0</v>
      </c>
      <c r="U65" s="29">
        <v>4</v>
      </c>
      <c r="V65" s="29">
        <v>38</v>
      </c>
      <c r="W65" s="29">
        <v>0</v>
      </c>
      <c r="X65" s="29">
        <v>0</v>
      </c>
      <c r="Y65" s="29">
        <v>6</v>
      </c>
      <c r="Z65" s="29">
        <v>15</v>
      </c>
      <c r="AA65" s="29">
        <v>0</v>
      </c>
      <c r="AB65" s="29">
        <v>0</v>
      </c>
      <c r="AC65" s="29">
        <v>5</v>
      </c>
      <c r="AD65" s="29">
        <v>0</v>
      </c>
      <c r="AE65" s="29">
        <v>0</v>
      </c>
      <c r="AF65" s="29">
        <v>40</v>
      </c>
      <c r="AG65" s="29">
        <v>0</v>
      </c>
      <c r="AH65" s="29">
        <v>0</v>
      </c>
      <c r="AI65" s="29">
        <v>4</v>
      </c>
      <c r="AJ65" s="29">
        <v>0</v>
      </c>
      <c r="AK65" s="29">
        <v>1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2</v>
      </c>
      <c r="AR65" s="29">
        <v>0</v>
      </c>
      <c r="AS65" s="29">
        <v>0</v>
      </c>
      <c r="AT65" s="29">
        <v>0</v>
      </c>
      <c r="AU65" s="29">
        <v>5</v>
      </c>
      <c r="AV65" s="29">
        <v>0</v>
      </c>
      <c r="AW65" s="29">
        <v>0</v>
      </c>
      <c r="AX65" s="29">
        <v>7.21</v>
      </c>
      <c r="AY65" s="29">
        <v>100</v>
      </c>
      <c r="AZ65" s="33">
        <f t="shared" si="3"/>
        <v>214</v>
      </c>
    </row>
    <row r="66" spans="1:52" s="31" customFormat="1">
      <c r="A66" s="28">
        <v>63</v>
      </c>
      <c r="B66" s="43"/>
      <c r="C66" s="44"/>
      <c r="D66" s="44"/>
      <c r="E66" s="43"/>
      <c r="F66" s="44"/>
      <c r="G66" s="34">
        <v>108.6558</v>
      </c>
      <c r="H66" s="36">
        <v>-7.7012499999999999</v>
      </c>
      <c r="I66" s="29">
        <v>5</v>
      </c>
      <c r="J66" s="29">
        <v>0</v>
      </c>
      <c r="K66" s="29">
        <f>14*5+2</f>
        <v>72</v>
      </c>
      <c r="L66" s="29">
        <v>8</v>
      </c>
      <c r="M66" s="29">
        <v>0</v>
      </c>
      <c r="N66" s="29">
        <v>0</v>
      </c>
      <c r="O66" s="29">
        <v>1</v>
      </c>
      <c r="P66" s="29">
        <v>6</v>
      </c>
      <c r="Q66" s="29">
        <v>7</v>
      </c>
      <c r="R66" s="29">
        <v>3</v>
      </c>
      <c r="S66" s="29">
        <v>0</v>
      </c>
      <c r="T66" s="29">
        <v>0</v>
      </c>
      <c r="U66" s="29">
        <v>21</v>
      </c>
      <c r="V66" s="29">
        <v>13</v>
      </c>
      <c r="W66" s="29">
        <v>0</v>
      </c>
      <c r="X66" s="29">
        <v>0</v>
      </c>
      <c r="Y66" s="29">
        <v>3</v>
      </c>
      <c r="Z66" s="29">
        <v>0</v>
      </c>
      <c r="AA66" s="29">
        <v>0</v>
      </c>
      <c r="AB66" s="29">
        <v>8</v>
      </c>
      <c r="AC66" s="29">
        <v>2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2</v>
      </c>
      <c r="AL66" s="29">
        <v>0</v>
      </c>
      <c r="AM66" s="29">
        <v>0</v>
      </c>
      <c r="AN66" s="29">
        <v>5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5.415</v>
      </c>
      <c r="AY66" s="29">
        <v>100</v>
      </c>
      <c r="AZ66" s="33">
        <f t="shared" si="3"/>
        <v>156</v>
      </c>
    </row>
    <row r="67" spans="1:52" s="31" customFormat="1" ht="15" customHeight="1">
      <c r="A67" s="28">
        <v>64</v>
      </c>
      <c r="B67" s="43">
        <v>9</v>
      </c>
      <c r="C67" s="44" t="s">
        <v>79</v>
      </c>
      <c r="D67" s="44" t="s">
        <v>7</v>
      </c>
      <c r="E67" s="43">
        <v>2016</v>
      </c>
      <c r="F67" s="44" t="s">
        <v>61</v>
      </c>
      <c r="G67" s="34">
        <v>106.5414</v>
      </c>
      <c r="H67" s="36">
        <v>-7.0052399999999997</v>
      </c>
      <c r="I67" s="29">
        <v>10</v>
      </c>
      <c r="J67" s="29">
        <v>100</v>
      </c>
      <c r="K67" s="29">
        <v>10</v>
      </c>
      <c r="L67" s="29">
        <v>10</v>
      </c>
      <c r="M67" s="29">
        <v>30</v>
      </c>
      <c r="N67" s="29">
        <v>5</v>
      </c>
      <c r="O67" s="29">
        <v>5</v>
      </c>
      <c r="P67" s="29">
        <v>68</v>
      </c>
      <c r="Q67" s="29">
        <v>30</v>
      </c>
      <c r="R67" s="29">
        <v>15</v>
      </c>
      <c r="S67" s="29">
        <v>5</v>
      </c>
      <c r="T67" s="29">
        <v>0</v>
      </c>
      <c r="U67" s="29">
        <v>35</v>
      </c>
      <c r="V67" s="29">
        <v>75</v>
      </c>
      <c r="W67" s="29">
        <v>0</v>
      </c>
      <c r="X67" s="29">
        <v>2</v>
      </c>
      <c r="Y67" s="29">
        <v>15</v>
      </c>
      <c r="Z67" s="29">
        <v>25</v>
      </c>
      <c r="AA67" s="29">
        <v>0</v>
      </c>
      <c r="AB67" s="29">
        <v>0</v>
      </c>
      <c r="AC67" s="29">
        <v>11</v>
      </c>
      <c r="AD67" s="29">
        <v>0</v>
      </c>
      <c r="AE67" s="29">
        <v>0</v>
      </c>
      <c r="AF67" s="29">
        <v>40</v>
      </c>
      <c r="AG67" s="29">
        <v>2</v>
      </c>
      <c r="AH67" s="29">
        <v>7</v>
      </c>
      <c r="AI67" s="29">
        <v>10</v>
      </c>
      <c r="AJ67" s="29">
        <v>0</v>
      </c>
      <c r="AK67" s="29">
        <v>5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25</v>
      </c>
      <c r="AV67" s="29">
        <v>2</v>
      </c>
      <c r="AW67" s="29">
        <v>2</v>
      </c>
      <c r="AX67" s="29">
        <v>16</v>
      </c>
      <c r="AY67" s="29">
        <v>100</v>
      </c>
      <c r="AZ67" s="33">
        <f t="shared" ref="AZ67:AZ80" si="4">SUM(I67:AW67)</f>
        <v>544</v>
      </c>
    </row>
    <row r="68" spans="1:52" s="31" customFormat="1">
      <c r="A68" s="28">
        <v>65</v>
      </c>
      <c r="B68" s="43"/>
      <c r="C68" s="44"/>
      <c r="D68" s="44"/>
      <c r="E68" s="43"/>
      <c r="F68" s="44"/>
      <c r="G68" s="34">
        <v>106.5415</v>
      </c>
      <c r="H68" s="36">
        <v>-7.0049400000000004</v>
      </c>
      <c r="I68" s="29">
        <v>7</v>
      </c>
      <c r="J68" s="29">
        <v>0</v>
      </c>
      <c r="K68" s="29">
        <v>0</v>
      </c>
      <c r="L68" s="29">
        <v>0</v>
      </c>
      <c r="M68" s="29">
        <v>9</v>
      </c>
      <c r="N68" s="29">
        <v>0</v>
      </c>
      <c r="O68" s="29">
        <v>3</v>
      </c>
      <c r="P68" s="29">
        <v>26</v>
      </c>
      <c r="Q68" s="29">
        <v>0</v>
      </c>
      <c r="R68" s="29">
        <v>2</v>
      </c>
      <c r="S68" s="29">
        <v>9</v>
      </c>
      <c r="T68" s="29">
        <v>0</v>
      </c>
      <c r="U68" s="29">
        <v>1</v>
      </c>
      <c r="V68" s="29">
        <v>7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3</v>
      </c>
      <c r="AD68" s="29">
        <v>0</v>
      </c>
      <c r="AE68" s="29">
        <v>0</v>
      </c>
      <c r="AF68" s="29">
        <v>87</v>
      </c>
      <c r="AG68" s="29">
        <v>4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9</v>
      </c>
      <c r="AO68" s="29">
        <v>0</v>
      </c>
      <c r="AP68" s="29">
        <v>1</v>
      </c>
      <c r="AQ68" s="29">
        <v>0</v>
      </c>
      <c r="AR68" s="29">
        <v>0</v>
      </c>
      <c r="AS68" s="29">
        <v>0</v>
      </c>
      <c r="AT68" s="29">
        <v>0</v>
      </c>
      <c r="AU68" s="29">
        <v>28</v>
      </c>
      <c r="AV68" s="29">
        <v>0</v>
      </c>
      <c r="AW68" s="29">
        <v>5</v>
      </c>
      <c r="AX68" s="29">
        <v>12</v>
      </c>
      <c r="AY68" s="29">
        <v>50</v>
      </c>
      <c r="AZ68" s="33">
        <f t="shared" si="4"/>
        <v>201</v>
      </c>
    </row>
    <row r="69" spans="1:52" s="31" customFormat="1">
      <c r="A69" s="28">
        <v>66</v>
      </c>
      <c r="B69" s="43"/>
      <c r="C69" s="44"/>
      <c r="D69" s="44"/>
      <c r="E69" s="43"/>
      <c r="F69" s="44"/>
      <c r="G69" s="34">
        <v>106.54170000000001</v>
      </c>
      <c r="H69" s="36">
        <v>-7.0046299999999997</v>
      </c>
      <c r="I69" s="29">
        <v>227</v>
      </c>
      <c r="J69" s="29">
        <v>0</v>
      </c>
      <c r="K69" s="29">
        <v>47</v>
      </c>
      <c r="L69" s="29">
        <v>40</v>
      </c>
      <c r="M69" s="29">
        <v>115</v>
      </c>
      <c r="N69" s="29">
        <v>13</v>
      </c>
      <c r="O69" s="29">
        <v>9</v>
      </c>
      <c r="P69" s="29">
        <v>38</v>
      </c>
      <c r="Q69" s="29">
        <v>2</v>
      </c>
      <c r="R69" s="29">
        <v>2</v>
      </c>
      <c r="S69" s="29">
        <v>0</v>
      </c>
      <c r="T69" s="29">
        <v>0</v>
      </c>
      <c r="U69" s="29">
        <v>104</v>
      </c>
      <c r="V69" s="29">
        <v>3</v>
      </c>
      <c r="W69" s="29">
        <v>2</v>
      </c>
      <c r="X69" s="29">
        <v>0</v>
      </c>
      <c r="Y69" s="29">
        <v>0</v>
      </c>
      <c r="Z69" s="29">
        <v>0</v>
      </c>
      <c r="AA69" s="29">
        <v>0</v>
      </c>
      <c r="AB69" s="29">
        <v>18</v>
      </c>
      <c r="AC69" s="29">
        <v>0</v>
      </c>
      <c r="AD69" s="29">
        <v>0</v>
      </c>
      <c r="AE69" s="29">
        <v>3</v>
      </c>
      <c r="AF69" s="29">
        <v>0</v>
      </c>
      <c r="AG69" s="29">
        <v>0</v>
      </c>
      <c r="AH69" s="29">
        <v>4</v>
      </c>
      <c r="AI69" s="29">
        <v>4</v>
      </c>
      <c r="AJ69" s="29">
        <v>0</v>
      </c>
      <c r="AK69" s="29">
        <v>1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1</v>
      </c>
      <c r="AR69" s="29">
        <v>3</v>
      </c>
      <c r="AS69" s="29">
        <v>0</v>
      </c>
      <c r="AT69" s="29">
        <v>0</v>
      </c>
      <c r="AU69" s="29">
        <v>28</v>
      </c>
      <c r="AV69" s="29">
        <v>0</v>
      </c>
      <c r="AW69" s="29">
        <v>5</v>
      </c>
      <c r="AX69" s="29">
        <v>13</v>
      </c>
      <c r="AY69" s="29">
        <v>50</v>
      </c>
      <c r="AZ69" s="33">
        <f t="shared" si="4"/>
        <v>669</v>
      </c>
    </row>
    <row r="70" spans="1:52" s="31" customFormat="1">
      <c r="A70" s="28">
        <v>67</v>
      </c>
      <c r="B70" s="43"/>
      <c r="C70" s="44"/>
      <c r="D70" s="44"/>
      <c r="E70" s="43"/>
      <c r="F70" s="44"/>
      <c r="G70" s="34">
        <v>106.5419</v>
      </c>
      <c r="H70" s="36">
        <v>-7.00427</v>
      </c>
      <c r="I70" s="29">
        <v>0</v>
      </c>
      <c r="J70" s="29">
        <v>20</v>
      </c>
      <c r="K70" s="29">
        <v>10</v>
      </c>
      <c r="L70" s="29">
        <v>10</v>
      </c>
      <c r="M70" s="29">
        <v>20</v>
      </c>
      <c r="N70" s="29">
        <v>0</v>
      </c>
      <c r="O70" s="29">
        <v>0</v>
      </c>
      <c r="P70" s="29">
        <v>40</v>
      </c>
      <c r="Q70" s="29">
        <v>7</v>
      </c>
      <c r="R70" s="29">
        <v>5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2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5</v>
      </c>
      <c r="AG70" s="29">
        <v>5</v>
      </c>
      <c r="AH70" s="29">
        <v>0</v>
      </c>
      <c r="AI70" s="29">
        <v>3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1</v>
      </c>
      <c r="AR70" s="29">
        <v>0</v>
      </c>
      <c r="AS70" s="29">
        <v>0</v>
      </c>
      <c r="AT70" s="29">
        <v>0</v>
      </c>
      <c r="AU70" s="29">
        <v>13</v>
      </c>
      <c r="AV70" s="29">
        <v>0</v>
      </c>
      <c r="AW70" s="29">
        <v>15</v>
      </c>
      <c r="AX70" s="29">
        <v>6.5</v>
      </c>
      <c r="AY70" s="29">
        <v>50</v>
      </c>
      <c r="AZ70" s="33">
        <f t="shared" si="4"/>
        <v>156</v>
      </c>
    </row>
    <row r="71" spans="1:52" s="31" customFormat="1">
      <c r="A71" s="28">
        <v>68</v>
      </c>
      <c r="B71" s="43"/>
      <c r="C71" s="44"/>
      <c r="D71" s="44"/>
      <c r="E71" s="43"/>
      <c r="F71" s="44"/>
      <c r="G71" s="34">
        <v>106.5419</v>
      </c>
      <c r="H71" s="36">
        <v>-7.0038400000000003</v>
      </c>
      <c r="I71" s="29">
        <v>0</v>
      </c>
      <c r="J71" s="29">
        <v>140</v>
      </c>
      <c r="K71" s="29">
        <v>76</v>
      </c>
      <c r="L71" s="29">
        <v>0</v>
      </c>
      <c r="M71" s="29">
        <v>158</v>
      </c>
      <c r="N71" s="29">
        <v>5</v>
      </c>
      <c r="O71" s="29">
        <v>0</v>
      </c>
      <c r="P71" s="29">
        <v>40</v>
      </c>
      <c r="Q71" s="29">
        <v>9</v>
      </c>
      <c r="R71" s="29">
        <v>23</v>
      </c>
      <c r="S71" s="29">
        <v>5</v>
      </c>
      <c r="T71" s="29">
        <v>0</v>
      </c>
      <c r="U71" s="29">
        <v>2</v>
      </c>
      <c r="V71" s="29">
        <v>0</v>
      </c>
      <c r="W71" s="29">
        <v>0</v>
      </c>
      <c r="X71" s="29">
        <v>211</v>
      </c>
      <c r="Y71" s="29">
        <v>5</v>
      </c>
      <c r="Z71" s="29">
        <v>0</v>
      </c>
      <c r="AA71" s="29">
        <v>0</v>
      </c>
      <c r="AB71" s="29">
        <v>0</v>
      </c>
      <c r="AC71" s="29">
        <v>65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2</v>
      </c>
      <c r="AL71" s="29">
        <v>0</v>
      </c>
      <c r="AM71" s="29">
        <v>0</v>
      </c>
      <c r="AN71" s="29">
        <v>0</v>
      </c>
      <c r="AO71" s="29">
        <v>0</v>
      </c>
      <c r="AP71" s="29">
        <v>1</v>
      </c>
      <c r="AQ71" s="29">
        <v>3</v>
      </c>
      <c r="AR71" s="29">
        <v>0</v>
      </c>
      <c r="AS71" s="29">
        <v>0</v>
      </c>
      <c r="AT71" s="29">
        <v>0</v>
      </c>
      <c r="AU71" s="29">
        <v>221</v>
      </c>
      <c r="AV71" s="29">
        <v>0</v>
      </c>
      <c r="AW71" s="29">
        <v>110</v>
      </c>
      <c r="AX71" s="29">
        <v>10</v>
      </c>
      <c r="AY71" s="29">
        <v>50</v>
      </c>
      <c r="AZ71" s="33">
        <f t="shared" si="4"/>
        <v>1076</v>
      </c>
    </row>
    <row r="72" spans="1:52" s="31" customFormat="1">
      <c r="A72" s="28">
        <v>69</v>
      </c>
      <c r="B72" s="43"/>
      <c r="C72" s="44"/>
      <c r="D72" s="44"/>
      <c r="E72" s="43"/>
      <c r="F72" s="44"/>
      <c r="G72" s="34">
        <v>106.5421</v>
      </c>
      <c r="H72" s="36">
        <v>-7.0033099999999999</v>
      </c>
      <c r="I72" s="29">
        <v>2</v>
      </c>
      <c r="J72" s="29">
        <v>0</v>
      </c>
      <c r="K72" s="29">
        <v>34</v>
      </c>
      <c r="L72" s="29">
        <v>40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2</v>
      </c>
      <c r="S72" s="29">
        <v>11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4</v>
      </c>
      <c r="AC72" s="29">
        <v>0</v>
      </c>
      <c r="AD72" s="29">
        <v>0</v>
      </c>
      <c r="AE72" s="29">
        <v>0</v>
      </c>
      <c r="AF72" s="29">
        <v>20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7</v>
      </c>
      <c r="AN72" s="29">
        <v>0</v>
      </c>
      <c r="AO72" s="29">
        <v>0</v>
      </c>
      <c r="AP72" s="29">
        <v>1</v>
      </c>
      <c r="AQ72" s="29">
        <v>0</v>
      </c>
      <c r="AR72" s="29">
        <v>0</v>
      </c>
      <c r="AS72" s="29">
        <v>0</v>
      </c>
      <c r="AT72" s="29">
        <v>0</v>
      </c>
      <c r="AU72" s="29">
        <v>13</v>
      </c>
      <c r="AV72" s="29">
        <v>0</v>
      </c>
      <c r="AW72" s="29">
        <v>39</v>
      </c>
      <c r="AX72" s="29">
        <v>14</v>
      </c>
      <c r="AY72" s="29">
        <v>50</v>
      </c>
      <c r="AZ72" s="33">
        <f t="shared" si="4"/>
        <v>173</v>
      </c>
    </row>
    <row r="73" spans="1:52" s="31" customFormat="1">
      <c r="A73" s="28">
        <v>70</v>
      </c>
      <c r="B73" s="43"/>
      <c r="C73" s="44"/>
      <c r="D73" s="44"/>
      <c r="E73" s="43"/>
      <c r="F73" s="44"/>
      <c r="G73" s="34">
        <v>106.5421</v>
      </c>
      <c r="H73" s="36">
        <v>-7.0028699999999997</v>
      </c>
      <c r="I73" s="29">
        <v>0</v>
      </c>
      <c r="J73" s="29">
        <v>0</v>
      </c>
      <c r="K73" s="29">
        <v>39</v>
      </c>
      <c r="L73" s="29">
        <v>3</v>
      </c>
      <c r="M73" s="29">
        <v>17</v>
      </c>
      <c r="N73" s="29">
        <v>0</v>
      </c>
      <c r="O73" s="29">
        <v>0</v>
      </c>
      <c r="P73" s="29">
        <v>40</v>
      </c>
      <c r="Q73" s="29">
        <v>3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4</v>
      </c>
      <c r="AD73" s="29">
        <v>0</v>
      </c>
      <c r="AE73" s="29">
        <v>0</v>
      </c>
      <c r="AF73" s="29">
        <v>28</v>
      </c>
      <c r="AG73" s="29">
        <v>0</v>
      </c>
      <c r="AH73" s="29">
        <v>0</v>
      </c>
      <c r="AI73" s="29">
        <v>0</v>
      </c>
      <c r="AJ73" s="29">
        <v>0</v>
      </c>
      <c r="AK73" s="29">
        <v>2</v>
      </c>
      <c r="AL73" s="29">
        <v>0</v>
      </c>
      <c r="AM73" s="29">
        <v>0</v>
      </c>
      <c r="AN73" s="29">
        <v>0</v>
      </c>
      <c r="AO73" s="29">
        <v>0</v>
      </c>
      <c r="AP73" s="29">
        <v>2</v>
      </c>
      <c r="AQ73" s="29">
        <v>1</v>
      </c>
      <c r="AR73" s="29">
        <v>1</v>
      </c>
      <c r="AS73" s="29">
        <v>0</v>
      </c>
      <c r="AT73" s="29">
        <v>0</v>
      </c>
      <c r="AU73" s="29">
        <v>40</v>
      </c>
      <c r="AV73" s="29">
        <v>0</v>
      </c>
      <c r="AW73" s="29">
        <v>9</v>
      </c>
      <c r="AX73" s="29">
        <v>8</v>
      </c>
      <c r="AY73" s="29">
        <v>50</v>
      </c>
      <c r="AZ73" s="33">
        <f t="shared" si="4"/>
        <v>189</v>
      </c>
    </row>
    <row r="74" spans="1:52" s="31" customFormat="1">
      <c r="A74" s="28">
        <v>71</v>
      </c>
      <c r="B74" s="43"/>
      <c r="C74" s="44"/>
      <c r="D74" s="44"/>
      <c r="E74" s="43"/>
      <c r="F74" s="44"/>
      <c r="G74" s="34">
        <v>106.5421</v>
      </c>
      <c r="H74" s="36">
        <v>-7.00237</v>
      </c>
      <c r="I74" s="29">
        <v>0</v>
      </c>
      <c r="J74" s="29">
        <v>0</v>
      </c>
      <c r="K74" s="29">
        <v>37</v>
      </c>
      <c r="L74" s="29">
        <v>15</v>
      </c>
      <c r="M74" s="29">
        <v>15</v>
      </c>
      <c r="N74" s="29">
        <v>0</v>
      </c>
      <c r="O74" s="29">
        <v>0</v>
      </c>
      <c r="P74" s="29">
        <v>11</v>
      </c>
      <c r="Q74" s="29">
        <v>3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45</v>
      </c>
      <c r="AG74" s="29">
        <v>2</v>
      </c>
      <c r="AH74" s="29">
        <v>0</v>
      </c>
      <c r="AI74" s="29">
        <v>0</v>
      </c>
      <c r="AJ74" s="29">
        <v>0</v>
      </c>
      <c r="AK74" s="29">
        <v>2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15</v>
      </c>
      <c r="AR74" s="29">
        <v>25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12</v>
      </c>
      <c r="AY74" s="29">
        <v>50</v>
      </c>
      <c r="AZ74" s="33">
        <f t="shared" si="4"/>
        <v>170</v>
      </c>
    </row>
    <row r="75" spans="1:52" s="31" customFormat="1">
      <c r="A75" s="28">
        <v>72</v>
      </c>
      <c r="B75" s="43">
        <v>10</v>
      </c>
      <c r="C75" s="44" t="s">
        <v>47</v>
      </c>
      <c r="D75" s="44" t="s">
        <v>1</v>
      </c>
      <c r="E75" s="43">
        <v>2014</v>
      </c>
      <c r="F75" s="44" t="s">
        <v>89</v>
      </c>
      <c r="G75" s="34">
        <v>108.3867</v>
      </c>
      <c r="H75" s="36">
        <v>-5.9285100000000002</v>
      </c>
      <c r="I75" s="29">
        <v>0</v>
      </c>
      <c r="J75" s="29">
        <v>0</v>
      </c>
      <c r="K75" s="29">
        <v>4</v>
      </c>
      <c r="L75" s="29">
        <v>2</v>
      </c>
      <c r="M75" s="29">
        <v>5</v>
      </c>
      <c r="N75" s="29">
        <v>0</v>
      </c>
      <c r="O75" s="29">
        <v>1</v>
      </c>
      <c r="P75" s="29">
        <v>0</v>
      </c>
      <c r="Q75" s="29">
        <v>0</v>
      </c>
      <c r="R75" s="29">
        <v>0</v>
      </c>
      <c r="S75" s="29">
        <v>1</v>
      </c>
      <c r="T75" s="29">
        <v>1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1</v>
      </c>
      <c r="AB75" s="29">
        <v>0</v>
      </c>
      <c r="AC75" s="29">
        <v>16</v>
      </c>
      <c r="AD75" s="29">
        <v>0</v>
      </c>
      <c r="AE75" s="29">
        <v>0</v>
      </c>
      <c r="AF75" s="29">
        <v>2</v>
      </c>
      <c r="AG75" s="29">
        <v>0</v>
      </c>
      <c r="AH75" s="29">
        <v>3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9">
        <v>0</v>
      </c>
      <c r="AW75" s="29">
        <v>0</v>
      </c>
      <c r="AX75" s="29">
        <v>6</v>
      </c>
      <c r="AY75" s="29">
        <v>50</v>
      </c>
      <c r="AZ75" s="33">
        <f t="shared" si="4"/>
        <v>36</v>
      </c>
    </row>
    <row r="76" spans="1:52" s="31" customFormat="1">
      <c r="A76" s="28">
        <v>73</v>
      </c>
      <c r="B76" s="43"/>
      <c r="C76" s="44"/>
      <c r="D76" s="44"/>
      <c r="E76" s="43"/>
      <c r="F76" s="44"/>
      <c r="G76" s="34">
        <v>108.3721</v>
      </c>
      <c r="H76" s="36">
        <v>-5.9269100000000003</v>
      </c>
      <c r="I76" s="29">
        <v>8</v>
      </c>
      <c r="J76" s="29">
        <v>16</v>
      </c>
      <c r="K76" s="29">
        <v>23</v>
      </c>
      <c r="L76" s="29">
        <v>4</v>
      </c>
      <c r="M76" s="29">
        <v>2</v>
      </c>
      <c r="N76" s="29">
        <v>6</v>
      </c>
      <c r="O76" s="29">
        <v>0</v>
      </c>
      <c r="P76" s="29">
        <v>0</v>
      </c>
      <c r="Q76" s="29">
        <v>23</v>
      </c>
      <c r="R76" s="29">
        <v>11</v>
      </c>
      <c r="S76" s="29">
        <v>3</v>
      </c>
      <c r="T76" s="29">
        <v>10</v>
      </c>
      <c r="U76" s="29">
        <v>8</v>
      </c>
      <c r="V76" s="29">
        <v>0</v>
      </c>
      <c r="W76" s="29">
        <v>0</v>
      </c>
      <c r="X76" s="29">
        <v>10</v>
      </c>
      <c r="Y76" s="29">
        <v>8</v>
      </c>
      <c r="Z76" s="29">
        <v>0</v>
      </c>
      <c r="AA76" s="29">
        <v>0</v>
      </c>
      <c r="AB76" s="29">
        <v>0</v>
      </c>
      <c r="AC76" s="29">
        <v>74</v>
      </c>
      <c r="AD76" s="29">
        <v>0</v>
      </c>
      <c r="AE76" s="29">
        <v>1</v>
      </c>
      <c r="AF76" s="29">
        <v>10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9">
        <v>0</v>
      </c>
      <c r="AW76" s="29">
        <v>0</v>
      </c>
      <c r="AX76" s="29">
        <v>25.5</v>
      </c>
      <c r="AY76" s="29">
        <v>50</v>
      </c>
      <c r="AZ76" s="33">
        <f t="shared" si="4"/>
        <v>217</v>
      </c>
    </row>
    <row r="77" spans="1:52" s="31" customFormat="1">
      <c r="A77" s="28">
        <v>74</v>
      </c>
      <c r="B77" s="43"/>
      <c r="C77" s="44"/>
      <c r="D77" s="44"/>
      <c r="E77" s="43"/>
      <c r="F77" s="44"/>
      <c r="G77" s="34">
        <v>108.3738</v>
      </c>
      <c r="H77" s="36">
        <v>-5.9305099999999999</v>
      </c>
      <c r="I77" s="29">
        <v>17</v>
      </c>
      <c r="J77" s="29">
        <v>19</v>
      </c>
      <c r="K77" s="29">
        <v>14</v>
      </c>
      <c r="L77" s="29">
        <v>5</v>
      </c>
      <c r="M77" s="29">
        <v>9</v>
      </c>
      <c r="N77" s="29">
        <v>3</v>
      </c>
      <c r="O77" s="29">
        <v>0</v>
      </c>
      <c r="P77" s="29">
        <v>0</v>
      </c>
      <c r="Q77" s="29">
        <v>25</v>
      </c>
      <c r="R77" s="29">
        <v>9</v>
      </c>
      <c r="S77" s="29">
        <v>1</v>
      </c>
      <c r="T77" s="29">
        <v>12</v>
      </c>
      <c r="U77" s="29">
        <v>0</v>
      </c>
      <c r="V77" s="29">
        <v>0</v>
      </c>
      <c r="W77" s="29">
        <v>0</v>
      </c>
      <c r="X77" s="29">
        <v>3</v>
      </c>
      <c r="Y77" s="29">
        <v>2</v>
      </c>
      <c r="Z77" s="29">
        <v>0</v>
      </c>
      <c r="AA77" s="29">
        <v>0</v>
      </c>
      <c r="AB77" s="29">
        <v>0</v>
      </c>
      <c r="AC77" s="29">
        <v>82</v>
      </c>
      <c r="AD77" s="29">
        <v>0</v>
      </c>
      <c r="AE77" s="29">
        <v>1</v>
      </c>
      <c r="AF77" s="29">
        <v>17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2</v>
      </c>
      <c r="AP77" s="29">
        <v>0</v>
      </c>
      <c r="AQ77" s="29">
        <v>0</v>
      </c>
      <c r="AR77" s="29">
        <v>0</v>
      </c>
      <c r="AS77" s="29">
        <v>0</v>
      </c>
      <c r="AT77" s="29">
        <v>1</v>
      </c>
      <c r="AU77" s="29">
        <v>0</v>
      </c>
      <c r="AV77" s="29">
        <v>0</v>
      </c>
      <c r="AW77" s="29">
        <v>0</v>
      </c>
      <c r="AX77" s="29">
        <v>14.5</v>
      </c>
      <c r="AY77" s="29">
        <v>50</v>
      </c>
      <c r="AZ77" s="33">
        <f t="shared" si="4"/>
        <v>222</v>
      </c>
    </row>
    <row r="78" spans="1:52" s="31" customFormat="1">
      <c r="A78" s="28">
        <v>75</v>
      </c>
      <c r="B78" s="43"/>
      <c r="C78" s="44" t="s">
        <v>24</v>
      </c>
      <c r="D78" s="44" t="s">
        <v>3</v>
      </c>
      <c r="E78" s="43">
        <v>2013</v>
      </c>
      <c r="F78" s="44"/>
      <c r="G78" s="34">
        <v>108.3758</v>
      </c>
      <c r="H78" s="36">
        <v>-5.9328099999999999</v>
      </c>
      <c r="I78" s="29">
        <v>0</v>
      </c>
      <c r="J78" s="29">
        <v>0</v>
      </c>
      <c r="K78" s="29">
        <v>0</v>
      </c>
      <c r="L78" s="29">
        <v>0</v>
      </c>
      <c r="M78" s="29">
        <v>1</v>
      </c>
      <c r="N78" s="29">
        <v>0</v>
      </c>
      <c r="O78" s="29">
        <v>2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5</v>
      </c>
      <c r="AA78" s="29">
        <v>0</v>
      </c>
      <c r="AB78" s="29">
        <v>0</v>
      </c>
      <c r="AC78" s="29">
        <v>8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</v>
      </c>
      <c r="AX78" s="29">
        <v>6</v>
      </c>
      <c r="AY78" s="29">
        <v>50</v>
      </c>
      <c r="AZ78" s="33">
        <f t="shared" si="4"/>
        <v>16</v>
      </c>
    </row>
    <row r="79" spans="1:52" s="31" customFormat="1">
      <c r="A79" s="28">
        <v>76</v>
      </c>
      <c r="B79" s="43"/>
      <c r="C79" s="44"/>
      <c r="D79" s="44"/>
      <c r="E79" s="43"/>
      <c r="F79" s="44"/>
      <c r="G79" s="34">
        <v>108.3871</v>
      </c>
      <c r="H79" s="36">
        <v>-5.9319100000000002</v>
      </c>
      <c r="I79" s="29">
        <v>0</v>
      </c>
      <c r="J79" s="29">
        <v>0</v>
      </c>
      <c r="K79" s="29">
        <v>0</v>
      </c>
      <c r="L79" s="29">
        <v>0</v>
      </c>
      <c r="M79" s="29">
        <v>7</v>
      </c>
      <c r="N79" s="29">
        <v>0</v>
      </c>
      <c r="O79" s="29">
        <v>7</v>
      </c>
      <c r="P79" s="29">
        <v>0</v>
      </c>
      <c r="Q79" s="29">
        <v>1</v>
      </c>
      <c r="R79" s="29">
        <v>2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4</v>
      </c>
      <c r="AA79" s="29">
        <v>1</v>
      </c>
      <c r="AB79" s="29">
        <v>2</v>
      </c>
      <c r="AC79" s="29">
        <v>3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1</v>
      </c>
      <c r="AU79" s="29">
        <v>0</v>
      </c>
      <c r="AV79" s="29">
        <v>1</v>
      </c>
      <c r="AW79" s="29">
        <v>0</v>
      </c>
      <c r="AX79" s="29">
        <v>3</v>
      </c>
      <c r="AY79" s="29">
        <v>50</v>
      </c>
      <c r="AZ79" s="33">
        <f t="shared" si="4"/>
        <v>29</v>
      </c>
    </row>
    <row r="80" spans="1:52" s="31" customFormat="1">
      <c r="A80" s="28">
        <v>77</v>
      </c>
      <c r="B80" s="43"/>
      <c r="C80" s="44"/>
      <c r="D80" s="44"/>
      <c r="E80" s="43"/>
      <c r="F80" s="44"/>
      <c r="G80" s="34">
        <v>108.37909999999999</v>
      </c>
      <c r="H80" s="36">
        <v>-5.9253099999999996</v>
      </c>
      <c r="I80" s="29">
        <v>0</v>
      </c>
      <c r="J80" s="29">
        <v>0</v>
      </c>
      <c r="K80" s="29">
        <v>0</v>
      </c>
      <c r="L80" s="29">
        <v>0</v>
      </c>
      <c r="M80" s="29">
        <v>1</v>
      </c>
      <c r="N80" s="29">
        <v>0</v>
      </c>
      <c r="O80" s="29">
        <v>10</v>
      </c>
      <c r="P80" s="29">
        <v>0</v>
      </c>
      <c r="Q80" s="29">
        <v>0</v>
      </c>
      <c r="R80" s="29">
        <v>10</v>
      </c>
      <c r="S80" s="29">
        <v>7</v>
      </c>
      <c r="T80" s="29">
        <v>3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20</v>
      </c>
      <c r="AA80" s="29">
        <v>1</v>
      </c>
      <c r="AB80" s="29">
        <v>6</v>
      </c>
      <c r="AC80" s="29">
        <v>2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  <c r="AW80" s="29">
        <v>0</v>
      </c>
      <c r="AX80" s="29">
        <v>3</v>
      </c>
      <c r="AY80" s="29">
        <v>50</v>
      </c>
      <c r="AZ80" s="33">
        <f t="shared" si="4"/>
        <v>60</v>
      </c>
    </row>
    <row r="81" spans="1:52" s="31" customFormat="1">
      <c r="A81" s="28">
        <v>78</v>
      </c>
      <c r="B81" s="43"/>
      <c r="C81" s="44"/>
      <c r="D81" s="44"/>
      <c r="E81" s="43"/>
      <c r="F81" s="44"/>
      <c r="G81" s="34">
        <v>108.3823</v>
      </c>
      <c r="H81" s="36">
        <v>-5.9357100000000003</v>
      </c>
      <c r="I81" s="29">
        <v>5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20</v>
      </c>
      <c r="S81" s="29">
        <v>1</v>
      </c>
      <c r="T81" s="29">
        <v>3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8</v>
      </c>
      <c r="AA81" s="29">
        <v>0</v>
      </c>
      <c r="AB81" s="29">
        <v>25</v>
      </c>
      <c r="AC81" s="29">
        <v>58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1</v>
      </c>
      <c r="AJ81" s="29">
        <v>0</v>
      </c>
      <c r="AK81" s="29">
        <v>4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29">
        <v>11</v>
      </c>
      <c r="AY81" s="29">
        <v>50</v>
      </c>
      <c r="AZ81" s="33">
        <f>SUM(I81:AW81)</f>
        <v>125</v>
      </c>
    </row>
    <row r="82" spans="1:52" s="31" customFormat="1">
      <c r="A82" s="28">
        <v>79</v>
      </c>
      <c r="B82" s="43">
        <v>11</v>
      </c>
      <c r="C82" s="44" t="s">
        <v>40</v>
      </c>
      <c r="D82" s="44" t="s">
        <v>18</v>
      </c>
      <c r="E82" s="43">
        <v>2016</v>
      </c>
      <c r="F82" s="44" t="s">
        <v>39</v>
      </c>
      <c r="G82" s="34">
        <v>108.4061</v>
      </c>
      <c r="H82" s="36">
        <v>-5.8681099999999997</v>
      </c>
      <c r="I82" s="29">
        <v>0</v>
      </c>
      <c r="J82" s="29">
        <v>11</v>
      </c>
      <c r="K82" s="29">
        <v>0</v>
      </c>
      <c r="L82" s="29">
        <v>0</v>
      </c>
      <c r="M82" s="29">
        <v>0</v>
      </c>
      <c r="N82" s="29">
        <v>0</v>
      </c>
      <c r="O82" s="29">
        <v>1</v>
      </c>
      <c r="P82" s="29">
        <v>0</v>
      </c>
      <c r="Q82" s="29">
        <v>1</v>
      </c>
      <c r="R82" s="29">
        <v>105</v>
      </c>
      <c r="S82" s="29">
        <v>13</v>
      </c>
      <c r="T82" s="29">
        <v>2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5</v>
      </c>
      <c r="AB82" s="29">
        <v>1</v>
      </c>
      <c r="AC82" s="29">
        <v>44</v>
      </c>
      <c r="AD82" s="29">
        <v>0</v>
      </c>
      <c r="AE82" s="29">
        <v>0</v>
      </c>
      <c r="AF82" s="29">
        <v>0</v>
      </c>
      <c r="AG82" s="29">
        <v>0</v>
      </c>
      <c r="AH82" s="29">
        <v>8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9">
        <v>0</v>
      </c>
      <c r="AU82" s="29">
        <v>55</v>
      </c>
      <c r="AV82" s="29">
        <v>0</v>
      </c>
      <c r="AW82" s="29">
        <v>0</v>
      </c>
      <c r="AX82" s="29">
        <v>7</v>
      </c>
      <c r="AY82" s="29">
        <v>100</v>
      </c>
      <c r="AZ82" s="30">
        <v>246</v>
      </c>
    </row>
    <row r="83" spans="1:52" s="31" customFormat="1">
      <c r="A83" s="28">
        <v>80</v>
      </c>
      <c r="B83" s="43"/>
      <c r="C83" s="44"/>
      <c r="D83" s="44"/>
      <c r="E83" s="43"/>
      <c r="F83" s="44"/>
      <c r="G83" s="34">
        <v>108.4061</v>
      </c>
      <c r="H83" s="36">
        <v>-5.86911</v>
      </c>
      <c r="I83" s="29">
        <v>0</v>
      </c>
      <c r="J83" s="29">
        <v>0</v>
      </c>
      <c r="K83" s="29">
        <v>35</v>
      </c>
      <c r="L83" s="29">
        <v>1</v>
      </c>
      <c r="M83" s="29">
        <v>0</v>
      </c>
      <c r="N83" s="29">
        <v>102</v>
      </c>
      <c r="O83" s="29">
        <v>0</v>
      </c>
      <c r="P83" s="29">
        <v>0</v>
      </c>
      <c r="Q83" s="29">
        <v>5</v>
      </c>
      <c r="R83" s="29">
        <v>8</v>
      </c>
      <c r="S83" s="29">
        <v>171</v>
      </c>
      <c r="T83" s="29">
        <v>32</v>
      </c>
      <c r="U83" s="29">
        <v>0</v>
      </c>
      <c r="V83" s="29">
        <v>4</v>
      </c>
      <c r="W83" s="29">
        <v>10</v>
      </c>
      <c r="X83" s="29">
        <v>3</v>
      </c>
      <c r="Y83" s="29">
        <v>0</v>
      </c>
      <c r="Z83" s="29">
        <v>2</v>
      </c>
      <c r="AA83" s="29">
        <v>1</v>
      </c>
      <c r="AB83" s="29">
        <v>5</v>
      </c>
      <c r="AC83" s="29">
        <v>5</v>
      </c>
      <c r="AD83" s="29">
        <v>0</v>
      </c>
      <c r="AE83" s="29">
        <v>0</v>
      </c>
      <c r="AF83" s="29">
        <v>6</v>
      </c>
      <c r="AG83" s="29">
        <v>15</v>
      </c>
      <c r="AH83" s="29">
        <v>0</v>
      </c>
      <c r="AI83" s="29">
        <v>0</v>
      </c>
      <c r="AJ83" s="29">
        <v>0</v>
      </c>
      <c r="AK83" s="29">
        <v>1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16</v>
      </c>
      <c r="AR83" s="29">
        <v>10</v>
      </c>
      <c r="AS83" s="29">
        <v>0</v>
      </c>
      <c r="AT83" s="29">
        <v>0</v>
      </c>
      <c r="AU83" s="29">
        <v>35</v>
      </c>
      <c r="AV83" s="29">
        <v>13</v>
      </c>
      <c r="AW83" s="29">
        <v>0</v>
      </c>
      <c r="AX83" s="29">
        <v>8</v>
      </c>
      <c r="AY83" s="29">
        <v>100</v>
      </c>
      <c r="AZ83" s="30">
        <v>480</v>
      </c>
    </row>
  </sheetData>
  <mergeCells count="84">
    <mergeCell ref="B75:B81"/>
    <mergeCell ref="E57:E61"/>
    <mergeCell ref="B82:B83"/>
    <mergeCell ref="C75:C77"/>
    <mergeCell ref="D75:D77"/>
    <mergeCell ref="E75:E77"/>
    <mergeCell ref="B67:B74"/>
    <mergeCell ref="C67:C74"/>
    <mergeCell ref="D67:D74"/>
    <mergeCell ref="E67:E74"/>
    <mergeCell ref="F82:F83"/>
    <mergeCell ref="F67:F74"/>
    <mergeCell ref="D62:D66"/>
    <mergeCell ref="E62:E66"/>
    <mergeCell ref="D57:D61"/>
    <mergeCell ref="F75:F81"/>
    <mergeCell ref="E53:E56"/>
    <mergeCell ref="C78:C81"/>
    <mergeCell ref="D78:D81"/>
    <mergeCell ref="E78:E81"/>
    <mergeCell ref="C82:C83"/>
    <mergeCell ref="D82:D83"/>
    <mergeCell ref="E82:E83"/>
    <mergeCell ref="F43:F50"/>
    <mergeCell ref="D51:D52"/>
    <mergeCell ref="E51:E52"/>
    <mergeCell ref="B36:B42"/>
    <mergeCell ref="C36:C42"/>
    <mergeCell ref="D36:D42"/>
    <mergeCell ref="E36:E42"/>
    <mergeCell ref="B43:B50"/>
    <mergeCell ref="C43:C50"/>
    <mergeCell ref="D43:D50"/>
    <mergeCell ref="E43:E50"/>
    <mergeCell ref="F36:F42"/>
    <mergeCell ref="F51:F66"/>
    <mergeCell ref="B51:B66"/>
    <mergeCell ref="C51:C66"/>
    <mergeCell ref="D53:D56"/>
    <mergeCell ref="B34:B35"/>
    <mergeCell ref="C34:C35"/>
    <mergeCell ref="D34:D35"/>
    <mergeCell ref="E34:E35"/>
    <mergeCell ref="F34:F35"/>
    <mergeCell ref="F8:F9"/>
    <mergeCell ref="C10:C19"/>
    <mergeCell ref="D10:D19"/>
    <mergeCell ref="E10:E19"/>
    <mergeCell ref="F10:F31"/>
    <mergeCell ref="C29:C31"/>
    <mergeCell ref="D29:D31"/>
    <mergeCell ref="E29:E31"/>
    <mergeCell ref="C20:C28"/>
    <mergeCell ref="D20:D28"/>
    <mergeCell ref="E20:E28"/>
    <mergeCell ref="F32:F33"/>
    <mergeCell ref="B32:B33"/>
    <mergeCell ref="C32:C33"/>
    <mergeCell ref="D32:D33"/>
    <mergeCell ref="E32:E33"/>
    <mergeCell ref="B8:B9"/>
    <mergeCell ref="C8:C9"/>
    <mergeCell ref="D8:D9"/>
    <mergeCell ref="E8:E9"/>
    <mergeCell ref="B10:B31"/>
    <mergeCell ref="AU2:AW2"/>
    <mergeCell ref="AX2:AX3"/>
    <mergeCell ref="AY2:AY3"/>
    <mergeCell ref="AZ2:AZ3"/>
    <mergeCell ref="D2:D3"/>
    <mergeCell ref="E2:E3"/>
    <mergeCell ref="F2:H2"/>
    <mergeCell ref="I2:Z2"/>
    <mergeCell ref="AA2:AD2"/>
    <mergeCell ref="AJ2:AM2"/>
    <mergeCell ref="AE2:AI2"/>
    <mergeCell ref="B2:B3"/>
    <mergeCell ref="C2:C3"/>
    <mergeCell ref="AN2:AT2"/>
    <mergeCell ref="B4:B7"/>
    <mergeCell ref="C4:C7"/>
    <mergeCell ref="D4:D7"/>
    <mergeCell ref="E4:E7"/>
    <mergeCell ref="F4:F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 Faizal</dc:creator>
  <cp:lastModifiedBy>Muhammad Mifzal Nazmi Nuwair</cp:lastModifiedBy>
  <dcterms:created xsi:type="dcterms:W3CDTF">2021-06-11T06:22:41Z</dcterms:created>
  <dcterms:modified xsi:type="dcterms:W3CDTF">2026-06-16T09:17:33Z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2026-05-18T03:10:55Z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1f2d1f75-2381-46e6-95ac-3281e9948497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